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68C23CAFFF6A5BE3/"/>
    </mc:Choice>
  </mc:AlternateContent>
  <xr:revisionPtr revIDLastSave="20" documentId="11_03473F48EA28A1D390229C357D25ECC8364B03B7" xr6:coauthVersionLast="47" xr6:coauthVersionMax="47" xr10:uidLastSave="{672112A8-705C-4625-A6B1-D2F9AB179261}"/>
  <bookViews>
    <workbookView xWindow="-120" yWindow="-120" windowWidth="20730" windowHeight="11040" activeTab="6" xr2:uid="{00000000-000D-0000-FFFF-FFFF00000000}"/>
  </bookViews>
  <sheets>
    <sheet name="Customers" sheetId="1" r:id="rId1"/>
    <sheet name="Products" sheetId="2" r:id="rId2"/>
    <sheet name="Transactions" sheetId="3" r:id="rId3"/>
    <sheet name="Cleaned_Data" sheetId="4" r:id="rId4"/>
    <sheet name="Merged_Data" sheetId="5" r:id="rId5"/>
    <sheet name="Analysis" sheetId="6" r:id="rId6"/>
    <sheet name="Dashboard" sheetId="7" r:id="rId7"/>
  </sheets>
  <definedNames>
    <definedName name="_xlnm._FilterDatabase" localSheetId="2" hidden="1">Transactions!$A$1:$F$1</definedName>
    <definedName name="Slicer_Category">#N/A</definedName>
    <definedName name="Slicer_City">#N/A</definedName>
    <definedName name="Slicer_TransactionDate">#N/A</definedName>
    <definedName name="TechBridge_Task_8_Dataset" localSheetId="3" hidden="1">Cleaned_Data!$A$2:$D$22</definedName>
    <definedName name="TechBridge_Task_8_Dataset_1" localSheetId="3" hidden="1">Cleaned_Data!$F$2:$I$12</definedName>
    <definedName name="TechBridge_Task_8_Dataset_2" localSheetId="3" hidden="1">Cleaned_Data!$K$2:$P$152</definedName>
    <definedName name="TechBridge_Task_8_Dataset_2" localSheetId="4" hidden="1">Merged_Data!$A$2:$L$150</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5" l="1"/>
  <c r="C4" i="5"/>
  <c r="C5" i="5"/>
  <c r="C6" i="5"/>
  <c r="C7" i="5"/>
  <c r="C8" i="5"/>
  <c r="C9" i="5"/>
  <c r="C10" i="5"/>
  <c r="C11"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D3" i="5"/>
  <c r="D4" i="5"/>
  <c r="D5" i="5"/>
  <c r="D6" i="5"/>
  <c r="D7" i="5"/>
  <c r="D8" i="5"/>
  <c r="D9" i="5"/>
  <c r="D10" i="5"/>
  <c r="D11"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E3" i="5"/>
  <c r="E4" i="5"/>
  <c r="E5" i="5"/>
  <c r="E6" i="5"/>
  <c r="E7" i="5"/>
  <c r="E8" i="5"/>
  <c r="E9" i="5"/>
  <c r="E10" i="5"/>
  <c r="E11"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J3" i="5"/>
  <c r="M3" i="5" s="1"/>
  <c r="J4" i="5"/>
  <c r="M4" i="5" s="1"/>
  <c r="J5" i="5"/>
  <c r="J6" i="5"/>
  <c r="M6" i="5" s="1"/>
  <c r="J7" i="5"/>
  <c r="M7" i="5" s="1"/>
  <c r="J8" i="5"/>
  <c r="M8" i="5" s="1"/>
  <c r="J9" i="5"/>
  <c r="M9" i="5" s="1"/>
  <c r="J10" i="5"/>
  <c r="M10" i="5" s="1"/>
  <c r="J11" i="5"/>
  <c r="M11" i="5" s="1"/>
  <c r="J12" i="5"/>
  <c r="M12" i="5" s="1"/>
  <c r="J13" i="5"/>
  <c r="M13" i="5" s="1"/>
  <c r="J14" i="5"/>
  <c r="M14" i="5" s="1"/>
  <c r="J15" i="5"/>
  <c r="M15" i="5" s="1"/>
  <c r="J16" i="5"/>
  <c r="M16" i="5" s="1"/>
  <c r="J17" i="5"/>
  <c r="M17" i="5" s="1"/>
  <c r="J18" i="5"/>
  <c r="M18" i="5" s="1"/>
  <c r="J19" i="5"/>
  <c r="M19" i="5" s="1"/>
  <c r="J20" i="5"/>
  <c r="J21" i="5"/>
  <c r="J22" i="5"/>
  <c r="M22" i="5" s="1"/>
  <c r="J23" i="5"/>
  <c r="M23" i="5" s="1"/>
  <c r="J24" i="5"/>
  <c r="M24" i="5" s="1"/>
  <c r="J25" i="5"/>
  <c r="M25" i="5" s="1"/>
  <c r="J26" i="5"/>
  <c r="M26" i="5" s="1"/>
  <c r="J27" i="5"/>
  <c r="M27" i="5" s="1"/>
  <c r="J28" i="5"/>
  <c r="M28" i="5" s="1"/>
  <c r="J29" i="5"/>
  <c r="M29" i="5" s="1"/>
  <c r="J30" i="5"/>
  <c r="M30" i="5" s="1"/>
  <c r="J31" i="5"/>
  <c r="M31" i="5" s="1"/>
  <c r="J32" i="5"/>
  <c r="J33" i="5"/>
  <c r="M33" i="5" s="1"/>
  <c r="J34" i="5"/>
  <c r="M34" i="5" s="1"/>
  <c r="J35" i="5"/>
  <c r="M35" i="5" s="1"/>
  <c r="J36" i="5"/>
  <c r="M36" i="5" s="1"/>
  <c r="J37" i="5"/>
  <c r="J38" i="5"/>
  <c r="M38" i="5" s="1"/>
  <c r="J39" i="5"/>
  <c r="M39" i="5" s="1"/>
  <c r="J40" i="5"/>
  <c r="M40" i="5" s="1"/>
  <c r="J41" i="5"/>
  <c r="M41" i="5" s="1"/>
  <c r="J42" i="5"/>
  <c r="M42" i="5" s="1"/>
  <c r="J43" i="5"/>
  <c r="M43" i="5" s="1"/>
  <c r="J44" i="5"/>
  <c r="M44" i="5" s="1"/>
  <c r="J45" i="5"/>
  <c r="M45" i="5" s="1"/>
  <c r="J46" i="5"/>
  <c r="M46" i="5" s="1"/>
  <c r="J47" i="5"/>
  <c r="M47" i="5" s="1"/>
  <c r="J48" i="5"/>
  <c r="M48" i="5" s="1"/>
  <c r="J49" i="5"/>
  <c r="M49" i="5" s="1"/>
  <c r="J50" i="5"/>
  <c r="M50" i="5" s="1"/>
  <c r="J51" i="5"/>
  <c r="M51" i="5" s="1"/>
  <c r="J52" i="5"/>
  <c r="J53" i="5"/>
  <c r="M53" i="5" s="1"/>
  <c r="J54" i="5"/>
  <c r="M54" i="5" s="1"/>
  <c r="J55" i="5"/>
  <c r="M55" i="5" s="1"/>
  <c r="J56" i="5"/>
  <c r="M56" i="5" s="1"/>
  <c r="J57" i="5"/>
  <c r="M57" i="5" s="1"/>
  <c r="J58" i="5"/>
  <c r="M58" i="5" s="1"/>
  <c r="J59" i="5"/>
  <c r="M59" i="5" s="1"/>
  <c r="J60" i="5"/>
  <c r="M60" i="5" s="1"/>
  <c r="J61" i="5"/>
  <c r="M61" i="5" s="1"/>
  <c r="J62" i="5"/>
  <c r="M62" i="5" s="1"/>
  <c r="J63" i="5"/>
  <c r="M63" i="5" s="1"/>
  <c r="J64" i="5"/>
  <c r="M64" i="5" s="1"/>
  <c r="J65" i="5"/>
  <c r="M65" i="5" s="1"/>
  <c r="J66" i="5"/>
  <c r="M66" i="5" s="1"/>
  <c r="J67" i="5"/>
  <c r="M67" i="5" s="1"/>
  <c r="J68" i="5"/>
  <c r="M68" i="5" s="1"/>
  <c r="J69" i="5"/>
  <c r="M69" i="5" s="1"/>
  <c r="J70" i="5"/>
  <c r="M70" i="5" s="1"/>
  <c r="J71" i="5"/>
  <c r="M71" i="5" s="1"/>
  <c r="J72" i="5"/>
  <c r="M72" i="5" s="1"/>
  <c r="J73" i="5"/>
  <c r="M73" i="5" s="1"/>
  <c r="J74" i="5"/>
  <c r="M74" i="5" s="1"/>
  <c r="J75" i="5"/>
  <c r="M75" i="5" s="1"/>
  <c r="J76" i="5"/>
  <c r="M76" i="5" s="1"/>
  <c r="J77" i="5"/>
  <c r="M77" i="5" s="1"/>
  <c r="J78" i="5"/>
  <c r="M78" i="5" s="1"/>
  <c r="J79" i="5"/>
  <c r="M79" i="5" s="1"/>
  <c r="J80" i="5"/>
  <c r="M80" i="5" s="1"/>
  <c r="J81" i="5"/>
  <c r="M81" i="5" s="1"/>
  <c r="J82" i="5"/>
  <c r="M82" i="5" s="1"/>
  <c r="J83" i="5"/>
  <c r="M83" i="5" s="1"/>
  <c r="J84" i="5"/>
  <c r="M84" i="5" s="1"/>
  <c r="J85" i="5"/>
  <c r="M85" i="5" s="1"/>
  <c r="J86" i="5"/>
  <c r="M86" i="5" s="1"/>
  <c r="J87" i="5"/>
  <c r="M87" i="5" s="1"/>
  <c r="J88" i="5"/>
  <c r="M88" i="5" s="1"/>
  <c r="J89" i="5"/>
  <c r="M89" i="5" s="1"/>
  <c r="J90" i="5"/>
  <c r="M90" i="5" s="1"/>
  <c r="J91" i="5"/>
  <c r="M91" i="5" s="1"/>
  <c r="J92" i="5"/>
  <c r="M92" i="5" s="1"/>
  <c r="J93" i="5"/>
  <c r="M93" i="5" s="1"/>
  <c r="J94" i="5"/>
  <c r="M94" i="5" s="1"/>
  <c r="J95" i="5"/>
  <c r="M95" i="5" s="1"/>
  <c r="J96" i="5"/>
  <c r="M96" i="5" s="1"/>
  <c r="J97" i="5"/>
  <c r="M97" i="5" s="1"/>
  <c r="J98" i="5"/>
  <c r="M98" i="5" s="1"/>
  <c r="J99" i="5"/>
  <c r="M99" i="5" s="1"/>
  <c r="J100" i="5"/>
  <c r="M100" i="5" s="1"/>
  <c r="J101" i="5"/>
  <c r="M101" i="5" s="1"/>
  <c r="J102" i="5"/>
  <c r="M102" i="5" s="1"/>
  <c r="J103" i="5"/>
  <c r="M103" i="5" s="1"/>
  <c r="J104" i="5"/>
  <c r="M104" i="5" s="1"/>
  <c r="J105" i="5"/>
  <c r="J106" i="5"/>
  <c r="M106" i="5" s="1"/>
  <c r="J107" i="5"/>
  <c r="M107" i="5" s="1"/>
  <c r="J108" i="5"/>
  <c r="M108" i="5" s="1"/>
  <c r="J109" i="5"/>
  <c r="M109" i="5" s="1"/>
  <c r="J110" i="5"/>
  <c r="M110" i="5" s="1"/>
  <c r="J111" i="5"/>
  <c r="M111" i="5" s="1"/>
  <c r="J112" i="5"/>
  <c r="M112" i="5" s="1"/>
  <c r="J113" i="5"/>
  <c r="M113" i="5" s="1"/>
  <c r="J114" i="5"/>
  <c r="M114" i="5" s="1"/>
  <c r="J115" i="5"/>
  <c r="M115" i="5" s="1"/>
  <c r="J116" i="5"/>
  <c r="M116" i="5" s="1"/>
  <c r="J117" i="5"/>
  <c r="M117" i="5" s="1"/>
  <c r="J118" i="5"/>
  <c r="M118" i="5" s="1"/>
  <c r="J119" i="5"/>
  <c r="M119" i="5" s="1"/>
  <c r="J120" i="5"/>
  <c r="M120" i="5" s="1"/>
  <c r="J121" i="5"/>
  <c r="M121" i="5" s="1"/>
  <c r="J122" i="5"/>
  <c r="M122" i="5" s="1"/>
  <c r="J123" i="5"/>
  <c r="M123" i="5" s="1"/>
  <c r="J124" i="5"/>
  <c r="M124" i="5" s="1"/>
  <c r="J125" i="5"/>
  <c r="M125" i="5" s="1"/>
  <c r="J126" i="5"/>
  <c r="M126" i="5" s="1"/>
  <c r="J127" i="5"/>
  <c r="M127" i="5" s="1"/>
  <c r="J128" i="5"/>
  <c r="M128" i="5" s="1"/>
  <c r="J129" i="5"/>
  <c r="M129" i="5" s="1"/>
  <c r="J130" i="5"/>
  <c r="M130" i="5" s="1"/>
  <c r="J131" i="5"/>
  <c r="M131" i="5" s="1"/>
  <c r="J132" i="5"/>
  <c r="M132" i="5" s="1"/>
  <c r="J133" i="5"/>
  <c r="M133" i="5" s="1"/>
  <c r="J134" i="5"/>
  <c r="M134" i="5" s="1"/>
  <c r="J135" i="5"/>
  <c r="M135" i="5" s="1"/>
  <c r="J136" i="5"/>
  <c r="M136" i="5" s="1"/>
  <c r="J137" i="5"/>
  <c r="M137" i="5" s="1"/>
  <c r="J138" i="5"/>
  <c r="M138" i="5" s="1"/>
  <c r="J139" i="5"/>
  <c r="M139" i="5" s="1"/>
  <c r="J140" i="5"/>
  <c r="M140" i="5" s="1"/>
  <c r="J141" i="5"/>
  <c r="M141" i="5" s="1"/>
  <c r="J142" i="5"/>
  <c r="M142" i="5" s="1"/>
  <c r="J143" i="5"/>
  <c r="M143" i="5" s="1"/>
  <c r="J144" i="5"/>
  <c r="M144" i="5" s="1"/>
  <c r="J145" i="5"/>
  <c r="M145" i="5" s="1"/>
  <c r="J146" i="5"/>
  <c r="M146" i="5" s="1"/>
  <c r="J147" i="5"/>
  <c r="M147" i="5" s="1"/>
  <c r="J148" i="5"/>
  <c r="M148" i="5" s="1"/>
  <c r="J149" i="5"/>
  <c r="M149" i="5" s="1"/>
  <c r="J150" i="5"/>
  <c r="M150" i="5" s="1"/>
  <c r="M5" i="5"/>
  <c r="M20" i="5"/>
  <c r="M21" i="5"/>
  <c r="M32" i="5"/>
  <c r="M37" i="5"/>
  <c r="M52" i="5"/>
  <c r="M105" i="5"/>
  <c r="I1015" i="4"/>
  <c r="H1015" i="4"/>
  <c r="G1015" i="4"/>
  <c r="F101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C:\Users\Timothy\Downloads\TechBridge_Task_8_Dataset.xlsx" keepAlive="1" name="TechBridge_Task_8_Dataset" type="5" refreshedVersion="5" background="1" saveData="1">
    <dbPr connection="Provider=Microsoft.ACE.OLEDB.12.0;User ID=Admin;Data Source=C:\Users\Timothy\Downloads\TechBridge_Task_8_Dataset.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Customers$" commandType="3"/>
  </connection>
  <connection id="2" xr16:uid="{00000000-0015-0000-FFFF-FFFF01000000}" sourceFile="C:\Users\Timothy\Downloads\TechBridge_Task_8_Dataset.xlsx" keepAlive="1" name="TechBridge_Task_8_Dataset1" type="5" refreshedVersion="5" background="1" saveData="1">
    <dbPr connection="Provider=Microsoft.ACE.OLEDB.12.0;User ID=Admin;Data Source=C:\Users\Timothy\Downloads\TechBridge_Task_8_Dataset.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Products$" commandType="3"/>
  </connection>
  <connection id="3" xr16:uid="{00000000-0015-0000-FFFF-FFFF02000000}" sourceFile="C:\Users\Timothy\Downloads\TechBridge_Task_8_Dataset.xlsx" keepAlive="1" name="TechBridge_Task_8_Dataset2" type="5" refreshedVersion="5" background="1" saveData="1">
    <dbPr connection="Provider=Microsoft.ACE.OLEDB.12.0;User ID=Admin;Data Source=C:\Users\Timothy\Downloads\TechBridge_Task_8_Dataset.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Transactions$" commandType="3"/>
  </connection>
  <connection id="4" xr16:uid="{00000000-0015-0000-FFFF-FFFF03000000}" sourceFile="C:\Users\Timothy\Downloads\TechBridge_Task_8_Dataset.xlsx" keepAlive="1" name="TechBridge_Task_8_Dataset21" type="5" refreshedVersion="5" background="1" saveData="1">
    <dbPr connection="Provider=Microsoft.ACE.OLEDB.12.0;User ID=Admin;Data Source=C:\Users\Timothy\Downloads\TechBridge_Task_8_Dataset.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Transactions$" commandType="3"/>
  </connection>
</connections>
</file>

<file path=xl/sharedStrings.xml><?xml version="1.0" encoding="utf-8"?>
<sst xmlns="http://schemas.openxmlformats.org/spreadsheetml/2006/main" count="2119" uniqueCount="326">
  <si>
    <t>CustomerID</t>
  </si>
  <si>
    <t>CustomerName</t>
  </si>
  <si>
    <t>City</t>
  </si>
  <si>
    <t>CustomerType</t>
  </si>
  <si>
    <t>C001</t>
  </si>
  <si>
    <t>Aisha Bello</t>
  </si>
  <si>
    <t>Lagos</t>
  </si>
  <si>
    <t>Retail</t>
  </si>
  <si>
    <t>C002</t>
  </si>
  <si>
    <t>Daniel Okafor</t>
  </si>
  <si>
    <t>Abuja</t>
  </si>
  <si>
    <t>Corporate</t>
  </si>
  <si>
    <t>C003</t>
  </si>
  <si>
    <t>Mariam Yusuf</t>
  </si>
  <si>
    <t>Kano</t>
  </si>
  <si>
    <t>C004</t>
  </si>
  <si>
    <t>Chinedu Obi</t>
  </si>
  <si>
    <t>Port Harcourt</t>
  </si>
  <si>
    <t>C005</t>
  </si>
  <si>
    <t>Grace Eze</t>
  </si>
  <si>
    <t>Benin City</t>
  </si>
  <si>
    <t>C006</t>
  </si>
  <si>
    <t>Samuel Adeyemi</t>
  </si>
  <si>
    <t>Ibadan</t>
  </si>
  <si>
    <t>Wholesale</t>
  </si>
  <si>
    <t>C007</t>
  </si>
  <si>
    <t>Fatima Musa</t>
  </si>
  <si>
    <t>Kaduna</t>
  </si>
  <si>
    <t>C008</t>
  </si>
  <si>
    <t>Emeka Nwosu</t>
  </si>
  <si>
    <t>Enugu</t>
  </si>
  <si>
    <t>C009</t>
  </si>
  <si>
    <t>Blessing Ojo</t>
  </si>
  <si>
    <t>C010</t>
  </si>
  <si>
    <t>Ibrahim Sani</t>
  </si>
  <si>
    <t>C011</t>
  </si>
  <si>
    <t>Esther James</t>
  </si>
  <si>
    <t>Warri</t>
  </si>
  <si>
    <t>C012</t>
  </si>
  <si>
    <t>David Umeh</t>
  </si>
  <si>
    <t>Asaba</t>
  </si>
  <si>
    <t>C013</t>
  </si>
  <si>
    <t>Joy Akpan</t>
  </si>
  <si>
    <t>Uyo</t>
  </si>
  <si>
    <t>C014</t>
  </si>
  <si>
    <t>Michael Joseph</t>
  </si>
  <si>
    <t>Calabar</t>
  </si>
  <si>
    <t>C015</t>
  </si>
  <si>
    <t>Ruth Daniel</t>
  </si>
  <si>
    <t>C016</t>
  </si>
  <si>
    <t>Peter Williams</t>
  </si>
  <si>
    <t>Abeokuta</t>
  </si>
  <si>
    <t>C017</t>
  </si>
  <si>
    <t>Hauwa Ali</t>
  </si>
  <si>
    <t>C018</t>
  </si>
  <si>
    <t>Kelvin George</t>
  </si>
  <si>
    <t>C019</t>
  </si>
  <si>
    <t>Mercy John</t>
  </si>
  <si>
    <t>C020</t>
  </si>
  <si>
    <t>Tunde Adebayo</t>
  </si>
  <si>
    <t>ProductID</t>
  </si>
  <si>
    <t>ProductName</t>
  </si>
  <si>
    <t>Category</t>
  </si>
  <si>
    <t>UnitPrice</t>
  </si>
  <si>
    <t>P001</t>
  </si>
  <si>
    <t>Laptop</t>
  </si>
  <si>
    <t>Electronics</t>
  </si>
  <si>
    <t>P002</t>
  </si>
  <si>
    <t>Monitor</t>
  </si>
  <si>
    <t>P003</t>
  </si>
  <si>
    <t>Keyboard</t>
  </si>
  <si>
    <t>Accessories</t>
  </si>
  <si>
    <t>P004</t>
  </si>
  <si>
    <t>Mouse</t>
  </si>
  <si>
    <t>P005</t>
  </si>
  <si>
    <t>Printer</t>
  </si>
  <si>
    <t>Office Equipment</t>
  </si>
  <si>
    <t>P006</t>
  </si>
  <si>
    <t>Office Chair</t>
  </si>
  <si>
    <t>Furniture</t>
  </si>
  <si>
    <t>P007</t>
  </si>
  <si>
    <t>Desk</t>
  </si>
  <si>
    <t>P008</t>
  </si>
  <si>
    <t>Headset</t>
  </si>
  <si>
    <t>P009</t>
  </si>
  <si>
    <t>Tablet</t>
  </si>
  <si>
    <t>P010</t>
  </si>
  <si>
    <t>External Drive</t>
  </si>
  <si>
    <t>TransactionID</t>
  </si>
  <si>
    <t>TransactionDate</t>
  </si>
  <si>
    <t>Quantity</t>
  </si>
  <si>
    <t>Discount</t>
  </si>
  <si>
    <t>T0001</t>
  </si>
  <si>
    <t>2026-02-02</t>
  </si>
  <si>
    <t>T0002</t>
  </si>
  <si>
    <t>2026-03-03</t>
  </si>
  <si>
    <t>T0003</t>
  </si>
  <si>
    <t>2026-04-04</t>
  </si>
  <si>
    <t>T0004</t>
  </si>
  <si>
    <t>2026-05-05</t>
  </si>
  <si>
    <t>T0005</t>
  </si>
  <si>
    <t>2026-06-06</t>
  </si>
  <si>
    <t>T0006</t>
  </si>
  <si>
    <t>2026-01-07</t>
  </si>
  <si>
    <t>T0007</t>
  </si>
  <si>
    <t>2026-02-08</t>
  </si>
  <si>
    <t>T0008</t>
  </si>
  <si>
    <t>2026-03-09</t>
  </si>
  <si>
    <t>T0009</t>
  </si>
  <si>
    <t>2026-04-10</t>
  </si>
  <si>
    <t>T0010</t>
  </si>
  <si>
    <t xml:space="preserve"> C010 </t>
  </si>
  <si>
    <t>2026-05-11</t>
  </si>
  <si>
    <t>T0011</t>
  </si>
  <si>
    <t>2026-06-12</t>
  </si>
  <si>
    <t>T0012</t>
  </si>
  <si>
    <t>2026-01-13</t>
  </si>
  <si>
    <t>T0013</t>
  </si>
  <si>
    <t>2026-02-14</t>
  </si>
  <si>
    <t>T0014</t>
  </si>
  <si>
    <t>2026-03-15</t>
  </si>
  <si>
    <t>T0015</t>
  </si>
  <si>
    <t>2026-04-16</t>
  </si>
  <si>
    <t>T0016</t>
  </si>
  <si>
    <t>2026-05-17</t>
  </si>
  <si>
    <t>T0017</t>
  </si>
  <si>
    <t>2026-06-18</t>
  </si>
  <si>
    <t>T0018</t>
  </si>
  <si>
    <t>2026-01-19</t>
  </si>
  <si>
    <t>T0019</t>
  </si>
  <si>
    <t>2026-02-20</t>
  </si>
  <si>
    <t>T0020</t>
  </si>
  <si>
    <t>2026-03-21</t>
  </si>
  <si>
    <t>T0021</t>
  </si>
  <si>
    <t>2026-04-22</t>
  </si>
  <si>
    <t>T0022</t>
  </si>
  <si>
    <t>2026-05-23</t>
  </si>
  <si>
    <t>T0023</t>
  </si>
  <si>
    <t>2026-06-24</t>
  </si>
  <si>
    <t>T0024</t>
  </si>
  <si>
    <t>2026-01-25</t>
  </si>
  <si>
    <t>T0025</t>
  </si>
  <si>
    <t>2026-02-26</t>
  </si>
  <si>
    <t>T0026</t>
  </si>
  <si>
    <t>2026-03-27</t>
  </si>
  <si>
    <t>T0027</t>
  </si>
  <si>
    <t>2026-04-01</t>
  </si>
  <si>
    <t>T0028</t>
  </si>
  <si>
    <t>2026-05-02</t>
  </si>
  <si>
    <t>T0029</t>
  </si>
  <si>
    <t>2026-06-03</t>
  </si>
  <si>
    <t>T0030</t>
  </si>
  <si>
    <t>2026-01-04</t>
  </si>
  <si>
    <t>T0031</t>
  </si>
  <si>
    <t>2026-02-05</t>
  </si>
  <si>
    <t>T0032</t>
  </si>
  <si>
    <t>2026-03-06</t>
  </si>
  <si>
    <t>T0033</t>
  </si>
  <si>
    <t>2026-04-07</t>
  </si>
  <si>
    <t>T0034</t>
  </si>
  <si>
    <t>2026-05-08</t>
  </si>
  <si>
    <t>T0035</t>
  </si>
  <si>
    <t>2026-06-09</t>
  </si>
  <si>
    <t>T0036</t>
  </si>
  <si>
    <t>2026-01-10</t>
  </si>
  <si>
    <t>T0037</t>
  </si>
  <si>
    <t>2026-02-11</t>
  </si>
  <si>
    <t>T0038</t>
  </si>
  <si>
    <t>2026-03-12</t>
  </si>
  <si>
    <t>T0039</t>
  </si>
  <si>
    <t>2026-04-13</t>
  </si>
  <si>
    <t>T0040</t>
  </si>
  <si>
    <t>C999</t>
  </si>
  <si>
    <t>2026-05-14</t>
  </si>
  <si>
    <t>T0041</t>
  </si>
  <si>
    <t>2026-06-15</t>
  </si>
  <si>
    <t>T0042</t>
  </si>
  <si>
    <t>2026-01-16</t>
  </si>
  <si>
    <t>T0043</t>
  </si>
  <si>
    <t>2026-02-17</t>
  </si>
  <si>
    <t>T0044</t>
  </si>
  <si>
    <t>2026-03-18</t>
  </si>
  <si>
    <t>T0045</t>
  </si>
  <si>
    <t>2026-04-19</t>
  </si>
  <si>
    <t>T0046</t>
  </si>
  <si>
    <t>2026-05-20</t>
  </si>
  <si>
    <t>T0047</t>
  </si>
  <si>
    <t>2026-06-21</t>
  </si>
  <si>
    <t>T0048</t>
  </si>
  <si>
    <t>2026-01-22</t>
  </si>
  <si>
    <t>T0049</t>
  </si>
  <si>
    <t>2026-02-23</t>
  </si>
  <si>
    <t>T0050</t>
  </si>
  <si>
    <t>2026-03-24</t>
  </si>
  <si>
    <t>T0051</t>
  </si>
  <si>
    <t>2026-04-25</t>
  </si>
  <si>
    <t>T0052</t>
  </si>
  <si>
    <t>2026-05-26</t>
  </si>
  <si>
    <t>T0053</t>
  </si>
  <si>
    <t>2026-06-27</t>
  </si>
  <si>
    <t>T0054</t>
  </si>
  <si>
    <t>2026-01-01</t>
  </si>
  <si>
    <t>T0055</t>
  </si>
  <si>
    <t>T0056</t>
  </si>
  <si>
    <t>T0057</t>
  </si>
  <si>
    <t>T0058</t>
  </si>
  <si>
    <t>T0059</t>
  </si>
  <si>
    <t>T0060</t>
  </si>
  <si>
    <t>T0061</t>
  </si>
  <si>
    <t>T0062</t>
  </si>
  <si>
    <t>T0063</t>
  </si>
  <si>
    <t>T0064</t>
  </si>
  <si>
    <t>T0065</t>
  </si>
  <si>
    <t>T0066</t>
  </si>
  <si>
    <t>T0067</t>
  </si>
  <si>
    <t>T0068</t>
  </si>
  <si>
    <t>T0069</t>
  </si>
  <si>
    <t>T0070</t>
  </si>
  <si>
    <t>T0071</t>
  </si>
  <si>
    <t>T0072</t>
  </si>
  <si>
    <t>T0073</t>
  </si>
  <si>
    <t>T0074</t>
  </si>
  <si>
    <t>T0075</t>
  </si>
  <si>
    <t>T0076</t>
  </si>
  <si>
    <t>T0077</t>
  </si>
  <si>
    <t>T0078</t>
  </si>
  <si>
    <t>T0079</t>
  </si>
  <si>
    <t>T0080</t>
  </si>
  <si>
    <t>P999</t>
  </si>
  <si>
    <t>T0081</t>
  </si>
  <si>
    <t>T0082</t>
  </si>
  <si>
    <t>T0083</t>
  </si>
  <si>
    <t>T0084</t>
  </si>
  <si>
    <t>T0085</t>
  </si>
  <si>
    <t>T0086</t>
  </si>
  <si>
    <t>T0087</t>
  </si>
  <si>
    <t>T0088</t>
  </si>
  <si>
    <t>T0089</t>
  </si>
  <si>
    <t>T0090</t>
  </si>
  <si>
    <t>T0091</t>
  </si>
  <si>
    <t>T0092</t>
  </si>
  <si>
    <t>T0093</t>
  </si>
  <si>
    <t>T0094</t>
  </si>
  <si>
    <t>T0095</t>
  </si>
  <si>
    <t>T0096</t>
  </si>
  <si>
    <t>T0097</t>
  </si>
  <si>
    <t>T0098</t>
  </si>
  <si>
    <t>T0099</t>
  </si>
  <si>
    <t>T0100</t>
  </si>
  <si>
    <t>T0101</t>
  </si>
  <si>
    <t>T0102</t>
  </si>
  <si>
    <t>T0103</t>
  </si>
  <si>
    <t>T0104</t>
  </si>
  <si>
    <t>T0105</t>
  </si>
  <si>
    <t>T0106</t>
  </si>
  <si>
    <t>T0107</t>
  </si>
  <si>
    <t>T0108</t>
  </si>
  <si>
    <t>T0109</t>
  </si>
  <si>
    <t>T0110</t>
  </si>
  <si>
    <t>T0111</t>
  </si>
  <si>
    <t>T0112</t>
  </si>
  <si>
    <t>T0113</t>
  </si>
  <si>
    <t>T0114</t>
  </si>
  <si>
    <t>T0115</t>
  </si>
  <si>
    <t>T0116</t>
  </si>
  <si>
    <t>T0117</t>
  </si>
  <si>
    <t>T0118</t>
  </si>
  <si>
    <t>T0119</t>
  </si>
  <si>
    <t>T0120</t>
  </si>
  <si>
    <t>T0121</t>
  </si>
  <si>
    <t>T0122</t>
  </si>
  <si>
    <t>T0123</t>
  </si>
  <si>
    <t>T0124</t>
  </si>
  <si>
    <t>T0125</t>
  </si>
  <si>
    <t>T0126</t>
  </si>
  <si>
    <t>T0127</t>
  </si>
  <si>
    <t>T0128</t>
  </si>
  <si>
    <t>T0129</t>
  </si>
  <si>
    <t>T0130</t>
  </si>
  <si>
    <t>T0131</t>
  </si>
  <si>
    <t>T0132</t>
  </si>
  <si>
    <t>T0133</t>
  </si>
  <si>
    <t>T0134</t>
  </si>
  <si>
    <t>T0135</t>
  </si>
  <si>
    <t>T0136</t>
  </si>
  <si>
    <t>T0137</t>
  </si>
  <si>
    <t>T0138</t>
  </si>
  <si>
    <t>T0139</t>
  </si>
  <si>
    <t>T0140</t>
  </si>
  <si>
    <t>T0141</t>
  </si>
  <si>
    <t>T0142</t>
  </si>
  <si>
    <t>T0143</t>
  </si>
  <si>
    <t>T0144</t>
  </si>
  <si>
    <t>T0145</t>
  </si>
  <si>
    <t>T0146</t>
  </si>
  <si>
    <t>T0147</t>
  </si>
  <si>
    <t>T0148</t>
  </si>
  <si>
    <t>T0149</t>
  </si>
  <si>
    <t>T0150</t>
  </si>
  <si>
    <t>Customers Table</t>
  </si>
  <si>
    <t>Product Table</t>
  </si>
  <si>
    <t>Transactions Table</t>
  </si>
  <si>
    <t xml:space="preserve">C010 </t>
  </si>
  <si>
    <t>SalesAmount</t>
  </si>
  <si>
    <t>Total Revenue</t>
  </si>
  <si>
    <t>Sum of SalesAmount</t>
  </si>
  <si>
    <t>Total Transactions</t>
  </si>
  <si>
    <t>Count of SalesAmount</t>
  </si>
  <si>
    <t>Total Quantity Sold</t>
  </si>
  <si>
    <t>Sum of Quantity</t>
  </si>
  <si>
    <t>Average Transaction Value</t>
  </si>
  <si>
    <t>Average of SalesAmount</t>
  </si>
  <si>
    <t>Revenue by Product</t>
  </si>
  <si>
    <t>Products</t>
  </si>
  <si>
    <t>Grand Total</t>
  </si>
  <si>
    <t>Revenue by Category</t>
  </si>
  <si>
    <t>Revenue by City</t>
  </si>
  <si>
    <t>Monthly Sales Trend</t>
  </si>
  <si>
    <t>Month</t>
  </si>
  <si>
    <t>Jun</t>
  </si>
  <si>
    <t>May</t>
  </si>
  <si>
    <t>Apr</t>
  </si>
  <si>
    <t>Mar</t>
  </si>
  <si>
    <t>Feb</t>
  </si>
  <si>
    <t>Jan</t>
  </si>
  <si>
    <t>Sales by Customer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</si>
</sst>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quot;-&quot;_-;_-@_-"/>
    <numFmt numFmtId="165" formatCode="_-* #,##0.00_-;\-* #,##0.00_-;_-* &quot;-&quot;??_-;_-@_-"/>
    <numFmt numFmtId="166" formatCode="_-* #,##0_-;\-* #,##0_-;_-* &quot;-&quot;??_-;_-@_-"/>
    <numFmt numFmtId="167" formatCode="_-[$₦-470]* #,##0.00_-;\-[$₦-470]* #,##0.00_-;_-[$₦-470]* &quot;-&quot;??_-;_-@_-"/>
  </numFmts>
  <fonts count="7" x14ac:knownFonts="1">
    <font>
      <sz val="11"/>
      <color theme="1"/>
      <name val="Calibri"/>
      <scheme val="minor"/>
    </font>
    <font>
      <sz val="11"/>
      <color theme="1"/>
      <name val="Calibri"/>
      <family val="2"/>
      <scheme val="minor"/>
    </font>
    <font>
      <b/>
      <sz val="11"/>
      <color theme="1"/>
      <name val="Calibri"/>
      <scheme val="minor"/>
    </font>
    <font>
      <sz val="11"/>
      <color theme="1"/>
      <name val="Calibri"/>
      <scheme val="minor"/>
    </font>
    <font>
      <b/>
      <sz val="11"/>
      <color theme="1"/>
      <name val="Calibri"/>
      <family val="2"/>
      <scheme val="minor"/>
    </font>
    <font>
      <b/>
      <sz val="12"/>
      <color theme="1"/>
      <name val="Calibri"/>
      <family val="2"/>
      <scheme val="minor"/>
    </font>
    <font>
      <sz val="15"/>
      <color rgb="FF1F1F1F"/>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2" fillId="0" borderId="1" xfId="0" applyFont="1" applyBorder="1" applyAlignment="1">
      <alignment horizontal="center" vertical="top"/>
    </xf>
    <xf numFmtId="0" fontId="3" fillId="0" borderId="0" xfId="0" applyFont="1"/>
    <xf numFmtId="0" fontId="4" fillId="0" borderId="0" xfId="0" applyFont="1" applyAlignment="1">
      <alignment horizontal="center" vertical="top"/>
    </xf>
    <xf numFmtId="3" fontId="0" fillId="0" borderId="0" xfId="0" applyNumberFormat="1"/>
    <xf numFmtId="14" fontId="0" fillId="0" borderId="0" xfId="0" applyNumberFormat="1"/>
    <xf numFmtId="0" fontId="0" fillId="2" borderId="0" xfId="0" applyFill="1"/>
    <xf numFmtId="14" fontId="0" fillId="2" borderId="0" xfId="0" applyNumberFormat="1" applyFill="1"/>
    <xf numFmtId="3" fontId="0" fillId="2" borderId="0" xfId="0" applyNumberFormat="1" applyFill="1"/>
    <xf numFmtId="0" fontId="1" fillId="0" borderId="0" xfId="0" applyFont="1"/>
    <xf numFmtId="0" fontId="0" fillId="0" borderId="0" xfId="0" pivotButton="1"/>
    <xf numFmtId="0" fontId="0" fillId="0" borderId="0" xfId="0" applyAlignment="1">
      <alignment horizontal="left"/>
    </xf>
    <xf numFmtId="3" fontId="1" fillId="0" borderId="0" xfId="0" applyNumberFormat="1" applyFont="1"/>
    <xf numFmtId="1" fontId="0" fillId="0" borderId="0" xfId="0" applyNumberFormat="1"/>
    <xf numFmtId="165" fontId="0" fillId="0" borderId="0" xfId="0" applyNumberFormat="1"/>
    <xf numFmtId="1" fontId="1" fillId="0" borderId="0" xfId="0" applyNumberFormat="1" applyFont="1"/>
    <xf numFmtId="0" fontId="6" fillId="0" borderId="0" xfId="0" applyFont="1" applyAlignment="1">
      <alignment vertical="center"/>
    </xf>
    <xf numFmtId="166" fontId="0" fillId="0" borderId="0" xfId="0" applyNumberFormat="1"/>
    <xf numFmtId="167" fontId="0" fillId="0" borderId="0" xfId="0" applyNumberFormat="1"/>
    <xf numFmtId="164" fontId="0" fillId="0" borderId="0" xfId="0" applyNumberFormat="1"/>
    <xf numFmtId="1" fontId="0" fillId="2" borderId="0" xfId="0" applyNumberFormat="1" applyFill="1"/>
    <xf numFmtId="0" fontId="5" fillId="0" borderId="0" xfId="0" applyFont="1" applyAlignment="1">
      <alignment horizontal="center"/>
    </xf>
  </cellXfs>
  <cellStyles count="1">
    <cellStyle name="Normal" xfId="0" builtinId="0"/>
  </cellStyles>
  <dxfs count="138">
    <dxf>
      <numFmt numFmtId="165" formatCode="_-* #,##0.00_-;\-* #,##0.00_-;_-* &quot;-&quot;??_-;_-@_-"/>
    </dxf>
    <dxf>
      <numFmt numFmtId="167" formatCode="_-[$₦-470]* #,##0.00_-;\-[$₦-470]* #,##0.00_-;_-[$₦-470]* &quot;-&quot;??_-;_-@_-"/>
    </dxf>
    <dxf>
      <numFmt numFmtId="166" formatCode="_-* #,##0_-;\-* #,##0_-;_-* &quot;-&quot;??_-;_-@_-"/>
    </dxf>
    <dxf>
      <numFmt numFmtId="167" formatCode="_-[$₦-470]* #,##0.00_-;\-[$₦-470]* #,##0.00_-;_-[$₦-470]* &quot;-&quot;??_-;_-@_-"/>
    </dxf>
    <dxf>
      <numFmt numFmtId="166" formatCode="_-* #,##0_-;\-* #,##0_-;_-* &quot;-&quot;??_-;_-@_-"/>
    </dxf>
    <dxf>
      <numFmt numFmtId="167" formatCode="_-[$₦-470]* #,##0.00_-;\-[$₦-470]* #,##0.00_-;_-[$₦-470]* &quot;-&quot;??_-;_-@_-"/>
    </dxf>
    <dxf>
      <numFmt numFmtId="166" formatCode="_-* #,##0_-;\-* #,##0_-;_-* &quot;-&quot;??_-;_-@_-"/>
    </dxf>
    <dxf>
      <numFmt numFmtId="167" formatCode="_-[$₦-470]* #,##0.00_-;\-[$₦-470]* #,##0.00_-;_-[$₦-470]* &quot;-&quot;??_-;_-@_-"/>
    </dxf>
    <dxf>
      <numFmt numFmtId="167" formatCode="_-[$₦-470]* #,##0.00_-;\-[$₦-470]* #,##0.00_-;_-[$₦-470]* &quot;-&quot;??_-;_-@_-"/>
    </dxf>
    <dxf>
      <numFmt numFmtId="164" formatCode="_-* #,##0_-;\-* #,##0_-;_-* &quot;-&quot;_-;_-@_-"/>
    </dxf>
    <dxf>
      <numFmt numFmtId="166" formatCode="_-* #,##0_-;\-* #,##0_-;_-* &quot;-&quot;??_-;_-@_-"/>
    </dxf>
    <dxf>
      <numFmt numFmtId="167" formatCode="_-[$₦-470]* #,##0.00_-;\-[$₦-470]* #,##0.00_-;_-[$₦-470]* &quot;-&quot;??_-;_-@_-"/>
    </dxf>
    <dxf>
      <numFmt numFmtId="165" formatCode="_-* #,##0.00_-;\-* #,##0.00_-;_-* &quot;-&quot;??_-;_-@_-"/>
    </dxf>
    <dxf>
      <numFmt numFmtId="167" formatCode="_-[$₦-470]* #,##0.00_-;\-[$₦-470]* #,##0.00_-;_-[$₦-470]* &quot;-&quot;??_-;_-@_-"/>
    </dxf>
    <dxf>
      <numFmt numFmtId="165" formatCode="_-* #,##0.00_-;\-* #,##0.00_-;_-* &quot;-&quot;??_-;_-@_-"/>
    </dxf>
    <dxf>
      <numFmt numFmtId="167" formatCode="_-[$₦-470]* #,##0.00_-;\-[$₦-470]* #,##0.00_-;_-[$₦-470]* &quot;-&quot;??_-;_-@_-"/>
    </dxf>
    <dxf>
      <numFmt numFmtId="166" formatCode="_-* #,##0_-;\-* #,##0_-;_-* &quot;-&quot;??_-;_-@_-"/>
    </dxf>
    <dxf>
      <numFmt numFmtId="167" formatCode="_-[$₦-470]* #,##0.00_-;\-[$₦-470]* #,##0.00_-;_-[$₦-470]* &quot;-&quot;??_-;_-@_-"/>
    </dxf>
    <dxf>
      <numFmt numFmtId="166" formatCode="_-* #,##0_-;\-* #,##0_-;_-* &quot;-&quot;??_-;_-@_-"/>
    </dxf>
    <dxf>
      <numFmt numFmtId="167" formatCode="_-[$₦-470]* #,##0.00_-;\-[$₦-470]* #,##0.00_-;_-[$₦-470]* &quot;-&quot;??_-;_-@_-"/>
    </dxf>
    <dxf>
      <numFmt numFmtId="166" formatCode="_-* #,##0_-;\-* #,##0_-;_-* &quot;-&quot;??_-;_-@_-"/>
    </dxf>
    <dxf>
      <numFmt numFmtId="167" formatCode="_-[$₦-470]* #,##0.00_-;\-[$₦-470]* #,##0.00_-;_-[$₦-470]* &quot;-&quot;??_-;_-@_-"/>
    </dxf>
    <dxf>
      <numFmt numFmtId="167" formatCode="_-[$₦-470]* #,##0.00_-;\-[$₦-470]* #,##0.00_-;_-[$₦-470]* &quot;-&quot;??_-;_-@_-"/>
    </dxf>
    <dxf>
      <numFmt numFmtId="164" formatCode="_-* #,##0_-;\-* #,##0_-;_-* &quot;-&quot;_-;_-@_-"/>
    </dxf>
    <dxf>
      <numFmt numFmtId="166" formatCode="_-* #,##0_-;\-* #,##0_-;_-* &quot;-&quot;??_-;_-@_-"/>
    </dxf>
    <dxf>
      <numFmt numFmtId="167" formatCode="_-[$₦-470]* #,##0.00_-;\-[$₦-470]* #,##0.00_-;_-[$₦-470]* &quot;-&quot;??_-;_-@_-"/>
    </dxf>
    <dxf>
      <numFmt numFmtId="165" formatCode="_-* #,##0.00_-;\-* #,##0.00_-;_-* &quot;-&quot;??_-;_-@_-"/>
    </dxf>
    <dxf>
      <numFmt numFmtId="167" formatCode="_-[$₦-470]* #,##0.00_-;\-[$₦-470]* #,##0.00_-;_-[$₦-470]* &quot;-&quot;??_-;_-@_-"/>
    </dxf>
    <dxf>
      <numFmt numFmtId="165" formatCode="_-* #,##0.00_-;\-* #,##0.00_-;_-* &quot;-&quot;??_-;_-@_-"/>
    </dxf>
    <dxf>
      <numFmt numFmtId="167" formatCode="_-[$₦-470]* #,##0.00_-;\-[$₦-470]* #,##0.00_-;_-[$₦-470]* &quot;-&quot;??_-;_-@_-"/>
    </dxf>
    <dxf>
      <numFmt numFmtId="166" formatCode="_-* #,##0_-;\-* #,##0_-;_-* &quot;-&quot;??_-;_-@_-"/>
    </dxf>
    <dxf>
      <numFmt numFmtId="167" formatCode="_-[$₦-470]* #,##0.00_-;\-[$₦-470]* #,##0.00_-;_-[$₦-470]* &quot;-&quot;??_-;_-@_-"/>
    </dxf>
    <dxf>
      <numFmt numFmtId="166" formatCode="_-* #,##0_-;\-* #,##0_-;_-* &quot;-&quot;??_-;_-@_-"/>
    </dxf>
    <dxf>
      <numFmt numFmtId="167" formatCode="_-[$₦-470]* #,##0.00_-;\-[$₦-470]* #,##0.00_-;_-[$₦-470]* &quot;-&quot;??_-;_-@_-"/>
    </dxf>
    <dxf>
      <numFmt numFmtId="166" formatCode="_-* #,##0_-;\-* #,##0_-;_-* &quot;-&quot;??_-;_-@_-"/>
    </dxf>
    <dxf>
      <numFmt numFmtId="167" formatCode="_-[$₦-470]* #,##0.00_-;\-[$₦-470]* #,##0.00_-;_-[$₦-470]* &quot;-&quot;??_-;_-@_-"/>
    </dxf>
    <dxf>
      <numFmt numFmtId="167" formatCode="_-[$₦-470]* #,##0.00_-;\-[$₦-470]* #,##0.00_-;_-[$₦-470]* &quot;-&quot;??_-;_-@_-"/>
    </dxf>
    <dxf>
      <numFmt numFmtId="164" formatCode="_-* #,##0_-;\-* #,##0_-;_-* &quot;-&quot;_-;_-@_-"/>
    </dxf>
    <dxf>
      <numFmt numFmtId="166" formatCode="_-* #,##0_-;\-* #,##0_-;_-* &quot;-&quot;??_-;_-@_-"/>
    </dxf>
    <dxf>
      <numFmt numFmtId="167" formatCode="_-[$₦-470]* #,##0.00_-;\-[$₦-470]* #,##0.00_-;_-[$₦-470]* &quot;-&quot;??_-;_-@_-"/>
    </dxf>
    <dxf>
      <numFmt numFmtId="165" formatCode="_-* #,##0.00_-;\-* #,##0.00_-;_-* &quot;-&quot;??_-;_-@_-"/>
    </dxf>
    <dxf>
      <numFmt numFmtId="167" formatCode="_-[$₦-470]* #,##0.00_-;\-[$₦-470]* #,##0.00_-;_-[$₦-470]* &quot;-&quot;??_-;_-@_-"/>
    </dxf>
    <dxf>
      <numFmt numFmtId="165" formatCode="_-* #,##0.00_-;\-* #,##0.00_-;_-* &quot;-&quot;??_-;_-@_-"/>
    </dxf>
    <dxf>
      <numFmt numFmtId="167" formatCode="_-[$₦-470]* #,##0.00_-;\-[$₦-470]* #,##0.00_-;_-[$₦-470]* &quot;-&quot;??_-;_-@_-"/>
    </dxf>
    <dxf>
      <numFmt numFmtId="166" formatCode="_-* #,##0_-;\-* #,##0_-;_-* &quot;-&quot;??_-;_-@_-"/>
    </dxf>
    <dxf>
      <numFmt numFmtId="167" formatCode="_-[$₦-470]* #,##0.00_-;\-[$₦-470]* #,##0.00_-;_-[$₦-470]* &quot;-&quot;??_-;_-@_-"/>
    </dxf>
    <dxf>
      <numFmt numFmtId="166" formatCode="_-* #,##0_-;\-* #,##0_-;_-* &quot;-&quot;??_-;_-@_-"/>
    </dxf>
    <dxf>
      <numFmt numFmtId="167" formatCode="_-[$₦-470]* #,##0.00_-;\-[$₦-470]* #,##0.00_-;_-[$₦-470]* &quot;-&quot;??_-;_-@_-"/>
    </dxf>
    <dxf>
      <numFmt numFmtId="166" formatCode="_-* #,##0_-;\-* #,##0_-;_-* &quot;-&quot;??_-;_-@_-"/>
    </dxf>
    <dxf>
      <numFmt numFmtId="167" formatCode="_-[$₦-470]* #,##0.00_-;\-[$₦-470]* #,##0.00_-;_-[$₦-470]* &quot;-&quot;??_-;_-@_-"/>
    </dxf>
    <dxf>
      <numFmt numFmtId="167" formatCode="_-[$₦-470]* #,##0.00_-;\-[$₦-470]* #,##0.00_-;_-[$₦-470]* &quot;-&quot;??_-;_-@_-"/>
    </dxf>
    <dxf>
      <numFmt numFmtId="164" formatCode="_-* #,##0_-;\-* #,##0_-;_-* &quot;-&quot;_-;_-@_-"/>
    </dxf>
    <dxf>
      <numFmt numFmtId="166" formatCode="_-* #,##0_-;\-* #,##0_-;_-* &quot;-&quot;??_-;_-@_-"/>
    </dxf>
    <dxf>
      <numFmt numFmtId="167" formatCode="_-[$₦-470]* #,##0.00_-;\-[$₦-470]* #,##0.00_-;_-[$₦-470]* &quot;-&quot;??_-;_-@_-"/>
    </dxf>
    <dxf>
      <numFmt numFmtId="165" formatCode="_-* #,##0.00_-;\-* #,##0.00_-;_-* &quot;-&quot;??_-;_-@_-"/>
    </dxf>
    <dxf>
      <numFmt numFmtId="167" formatCode="_-[$₦-470]* #,##0.00_-;\-[$₦-470]* #,##0.00_-;_-[$₦-470]* &quot;-&quot;??_-;_-@_-"/>
    </dxf>
    <dxf>
      <numFmt numFmtId="165" formatCode="_-* #,##0.00_-;\-* #,##0.00_-;_-* &quot;-&quot;??_-;_-@_-"/>
    </dxf>
    <dxf>
      <numFmt numFmtId="167" formatCode="_-[$₦-470]* #,##0.00_-;\-[$₦-470]* #,##0.00_-;_-[$₦-470]* &quot;-&quot;??_-;_-@_-"/>
    </dxf>
    <dxf>
      <numFmt numFmtId="166" formatCode="_-* #,##0_-;\-* #,##0_-;_-* &quot;-&quot;??_-;_-@_-"/>
    </dxf>
    <dxf>
      <numFmt numFmtId="167" formatCode="_-[$₦-470]* #,##0.00_-;\-[$₦-470]* #,##0.00_-;_-[$₦-470]* &quot;-&quot;??_-;_-@_-"/>
    </dxf>
    <dxf>
      <numFmt numFmtId="166" formatCode="_-* #,##0_-;\-* #,##0_-;_-* &quot;-&quot;??_-;_-@_-"/>
    </dxf>
    <dxf>
      <numFmt numFmtId="167" formatCode="_-[$₦-470]* #,##0.00_-;\-[$₦-470]* #,##0.00_-;_-[$₦-470]* &quot;-&quot;??_-;_-@_-"/>
    </dxf>
    <dxf>
      <numFmt numFmtId="166" formatCode="_-* #,##0_-;\-* #,##0_-;_-* &quot;-&quot;??_-;_-@_-"/>
    </dxf>
    <dxf>
      <numFmt numFmtId="167" formatCode="_-[$₦-470]* #,##0.00_-;\-[$₦-470]* #,##0.00_-;_-[$₦-470]* &quot;-&quot;??_-;_-@_-"/>
    </dxf>
    <dxf>
      <numFmt numFmtId="167" formatCode="_-[$₦-470]* #,##0.00_-;\-[$₦-470]* #,##0.00_-;_-[$₦-470]* &quot;-&quot;??_-;_-@_-"/>
    </dxf>
    <dxf>
      <numFmt numFmtId="164" formatCode="_-* #,##0_-;\-* #,##0_-;_-* &quot;-&quot;_-;_-@_-"/>
    </dxf>
    <dxf>
      <numFmt numFmtId="166" formatCode="_-* #,##0_-;\-* #,##0_-;_-* &quot;-&quot;??_-;_-@_-"/>
    </dxf>
    <dxf>
      <numFmt numFmtId="167" formatCode="_-[$₦-470]* #,##0.00_-;\-[$₦-470]* #,##0.00_-;_-[$₦-470]* &quot;-&quot;??_-;_-@_-"/>
    </dxf>
    <dxf>
      <numFmt numFmtId="165" formatCode="_-* #,##0.00_-;\-* #,##0.00_-;_-* &quot;-&quot;??_-;_-@_-"/>
    </dxf>
    <dxf>
      <numFmt numFmtId="167" formatCode="_-[$₦-470]* #,##0.00_-;\-[$₦-470]* #,##0.00_-;_-[$₦-470]* &quot;-&quot;??_-;_-@_-"/>
    </dxf>
    <dxf>
      <numFmt numFmtId="165" formatCode="_-* #,##0.00_-;\-* #,##0.00_-;_-* &quot;-&quot;??_-;_-@_-"/>
    </dxf>
    <dxf>
      <numFmt numFmtId="167" formatCode="_-[$₦-470]* #,##0.00_-;\-[$₦-470]* #,##0.00_-;_-[$₦-470]* &quot;-&quot;??_-;_-@_-"/>
    </dxf>
    <dxf>
      <numFmt numFmtId="166" formatCode="_-* #,##0_-;\-* #,##0_-;_-* &quot;-&quot;??_-;_-@_-"/>
    </dxf>
    <dxf>
      <numFmt numFmtId="167" formatCode="_-[$₦-470]* #,##0.00_-;\-[$₦-470]* #,##0.00_-;_-[$₦-470]* &quot;-&quot;??_-;_-@_-"/>
    </dxf>
    <dxf>
      <numFmt numFmtId="166" formatCode="_-* #,##0_-;\-* #,##0_-;_-* &quot;-&quot;??_-;_-@_-"/>
    </dxf>
    <dxf>
      <numFmt numFmtId="167" formatCode="_-[$₦-470]* #,##0.00_-;\-[$₦-470]* #,##0.00_-;_-[$₦-470]* &quot;-&quot;??_-;_-@_-"/>
    </dxf>
    <dxf>
      <numFmt numFmtId="166" formatCode="_-* #,##0_-;\-* #,##0_-;_-* &quot;-&quot;??_-;_-@_-"/>
    </dxf>
    <dxf>
      <numFmt numFmtId="167" formatCode="_-[$₦-470]* #,##0.00_-;\-[$₦-470]* #,##0.00_-;_-[$₦-470]* &quot;-&quot;??_-;_-@_-"/>
    </dxf>
    <dxf>
      <numFmt numFmtId="167" formatCode="_-[$₦-470]* #,##0.00_-;\-[$₦-470]* #,##0.00_-;_-[$₦-470]* &quot;-&quot;??_-;_-@_-"/>
    </dxf>
    <dxf>
      <numFmt numFmtId="164" formatCode="_-* #,##0_-;\-* #,##0_-;_-* &quot;-&quot;_-;_-@_-"/>
    </dxf>
    <dxf>
      <numFmt numFmtId="166" formatCode="_-* #,##0_-;\-* #,##0_-;_-* &quot;-&quot;??_-;_-@_-"/>
    </dxf>
    <dxf>
      <numFmt numFmtId="167" formatCode="_-[$₦-470]* #,##0.00_-;\-[$₦-470]* #,##0.00_-;_-[$₦-470]* &quot;-&quot;??_-;_-@_-"/>
    </dxf>
    <dxf>
      <numFmt numFmtId="165" formatCode="_-* #,##0.00_-;\-* #,##0.00_-;_-* &quot;-&quot;??_-;_-@_-"/>
    </dxf>
    <dxf>
      <numFmt numFmtId="167" formatCode="_-[$₦-470]* #,##0.00_-;\-[$₦-470]* #,##0.00_-;_-[$₦-470]* &quot;-&quot;??_-;_-@_-"/>
    </dxf>
    <dxf>
      <numFmt numFmtId="165" formatCode="_-* #,##0.00_-;\-* #,##0.00_-;_-* &quot;-&quot;??_-;_-@_-"/>
    </dxf>
    <dxf>
      <numFmt numFmtId="167" formatCode="_-[$₦-470]* #,##0.00_-;\-[$₦-470]* #,##0.00_-;_-[$₦-470]* &quot;-&quot;??_-;_-@_-"/>
    </dxf>
    <dxf>
      <numFmt numFmtId="166" formatCode="_-* #,##0_-;\-* #,##0_-;_-* &quot;-&quot;??_-;_-@_-"/>
    </dxf>
    <dxf>
      <numFmt numFmtId="167" formatCode="_-[$₦-470]* #,##0.00_-;\-[$₦-470]* #,##0.00_-;_-[$₦-470]* &quot;-&quot;??_-;_-@_-"/>
    </dxf>
    <dxf>
      <numFmt numFmtId="166" formatCode="_-* #,##0_-;\-* #,##0_-;_-* &quot;-&quot;??_-;_-@_-"/>
    </dxf>
    <dxf>
      <numFmt numFmtId="167" formatCode="_-[$₦-470]* #,##0.00_-;\-[$₦-470]* #,##0.00_-;_-[$₦-470]* &quot;-&quot;??_-;_-@_-"/>
    </dxf>
    <dxf>
      <numFmt numFmtId="166" formatCode="_-* #,##0_-;\-* #,##0_-;_-* &quot;-&quot;??_-;_-@_-"/>
    </dxf>
    <dxf>
      <numFmt numFmtId="167" formatCode="_-[$₦-470]* #,##0.00_-;\-[$₦-470]* #,##0.00_-;_-[$₦-470]* &quot;-&quot;??_-;_-@_-"/>
    </dxf>
    <dxf>
      <numFmt numFmtId="167" formatCode="_-[$₦-470]* #,##0.00_-;\-[$₦-470]* #,##0.00_-;_-[$₦-470]* &quot;-&quot;??_-;_-@_-"/>
    </dxf>
    <dxf>
      <numFmt numFmtId="164" formatCode="_-* #,##0_-;\-* #,##0_-;_-* &quot;-&quot;_-;_-@_-"/>
    </dxf>
    <dxf>
      <numFmt numFmtId="166" formatCode="_-* #,##0_-;\-* #,##0_-;_-* &quot;-&quot;??_-;_-@_-"/>
    </dxf>
    <dxf>
      <numFmt numFmtId="167" formatCode="_-[$₦-470]* #,##0.00_-;\-[$₦-470]* #,##0.00_-;_-[$₦-470]* &quot;-&quot;??_-;_-@_-"/>
    </dxf>
    <dxf>
      <numFmt numFmtId="165" formatCode="_-* #,##0.00_-;\-* #,##0.00_-;_-* &quot;-&quot;??_-;_-@_-"/>
    </dxf>
    <dxf>
      <numFmt numFmtId="167" formatCode="_-[$₦-470]* #,##0.00_-;\-[$₦-470]* #,##0.00_-;_-[$₦-470]* &quot;-&quot;??_-;_-@_-"/>
    </dxf>
    <dxf>
      <numFmt numFmtId="165" formatCode="_-* #,##0.00_-;\-* #,##0.00_-;_-* &quot;-&quot;??_-;_-@_-"/>
    </dxf>
    <dxf>
      <numFmt numFmtId="167" formatCode="_-[$₦-470]* #,##0.00_-;\-[$₦-470]* #,##0.00_-;_-[$₦-470]* &quot;-&quot;??_-;_-@_-"/>
    </dxf>
    <dxf>
      <numFmt numFmtId="166" formatCode="_-* #,##0_-;\-* #,##0_-;_-* &quot;-&quot;??_-;_-@_-"/>
    </dxf>
    <dxf>
      <numFmt numFmtId="167" formatCode="_-[$₦-470]* #,##0.00_-;\-[$₦-470]* #,##0.00_-;_-[$₦-470]* &quot;-&quot;??_-;_-@_-"/>
    </dxf>
    <dxf>
      <numFmt numFmtId="166" formatCode="_-* #,##0_-;\-* #,##0_-;_-* &quot;-&quot;??_-;_-@_-"/>
    </dxf>
    <dxf>
      <numFmt numFmtId="167" formatCode="_-[$₦-470]* #,##0.00_-;\-[$₦-470]* #,##0.00_-;_-[$₦-470]* &quot;-&quot;??_-;_-@_-"/>
    </dxf>
    <dxf>
      <numFmt numFmtId="166" formatCode="_-* #,##0_-;\-* #,##0_-;_-* &quot;-&quot;??_-;_-@_-"/>
    </dxf>
    <dxf>
      <numFmt numFmtId="167" formatCode="_-[$₦-470]* #,##0.00_-;\-[$₦-470]* #,##0.00_-;_-[$₦-470]* &quot;-&quot;??_-;_-@_-"/>
    </dxf>
    <dxf>
      <numFmt numFmtId="167" formatCode="_-[$₦-470]* #,##0.00_-;\-[$₦-470]* #,##0.00_-;_-[$₦-470]* &quot;-&quot;??_-;_-@_-"/>
    </dxf>
    <dxf>
      <numFmt numFmtId="164" formatCode="_-* #,##0_-;\-* #,##0_-;_-* &quot;-&quot;_-;_-@_-"/>
    </dxf>
    <dxf>
      <numFmt numFmtId="166" formatCode="_-* #,##0_-;\-* #,##0_-;_-* &quot;-&quot;??_-;_-@_-"/>
    </dxf>
    <dxf>
      <numFmt numFmtId="167" formatCode="_-[$₦-470]* #,##0.00_-;\-[$₦-470]* #,##0.00_-;_-[$₦-470]* &quot;-&quot;??_-;_-@_-"/>
    </dxf>
    <dxf>
      <numFmt numFmtId="165" formatCode="_-* #,##0.00_-;\-* #,##0.00_-;_-* &quot;-&quot;??_-;_-@_-"/>
    </dxf>
    <dxf>
      <numFmt numFmtId="167" formatCode="_-[$₦-470]* #,##0.00_-;\-[$₦-470]* #,##0.00_-;_-[$₦-470]* &quot;-&quot;??_-;_-@_-"/>
    </dxf>
    <dxf>
      <numFmt numFmtId="167" formatCode="_-[$₦-470]* #,##0.00_-;\-[$₦-470]* #,##0.00_-;_-[$₦-470]* &quot;-&quot;??_-;_-@_-"/>
    </dxf>
    <dxf>
      <numFmt numFmtId="167" formatCode="_-[$₦-470]* #,##0.00_-;\-[$₦-470]* #,##0.00_-;_-[$₦-470]* &quot;-&quot;??_-;_-@_-"/>
    </dxf>
    <dxf>
      <numFmt numFmtId="166" formatCode="_-* #,##0_-;\-* #,##0_-;_-* &quot;-&quot;??_-;_-@_-"/>
    </dxf>
    <dxf>
      <numFmt numFmtId="164" formatCode="_-* #,##0_-;\-* #,##0_-;_-* &quot;-&quot;_-;_-@_-"/>
    </dxf>
    <dxf>
      <numFmt numFmtId="167" formatCode="_-[$₦-470]* #,##0.00_-;\-[$₦-470]* #,##0.00_-;_-[$₦-470]* &quot;-&quot;??_-;_-@_-"/>
    </dxf>
    <dxf>
      <numFmt numFmtId="165" formatCode="_-* #,##0.00_-;\-* #,##0.00_-;_-* &quot;-&quot;??_-;_-@_-"/>
    </dxf>
    <dxf>
      <numFmt numFmtId="167" formatCode="_-[$₦-470]* #,##0.00_-;\-[$₦-470]* #,##0.00_-;_-[$₦-470]* &quot;-&quot;??_-;_-@_-"/>
    </dxf>
    <dxf>
      <numFmt numFmtId="166" formatCode="_-* #,##0_-;\-* #,##0_-;_-* &quot;-&quot;??_-;_-@_-"/>
    </dxf>
    <dxf>
      <numFmt numFmtId="167" formatCode="_-[$₦-470]* #,##0.00_-;\-[$₦-470]* #,##0.00_-;_-[$₦-470]* &quot;-&quot;??_-;_-@_-"/>
    </dxf>
    <dxf>
      <numFmt numFmtId="165" formatCode="_-* #,##0.00_-;\-* #,##0.00_-;_-* &quot;-&quot;??_-;_-@_-"/>
    </dxf>
    <dxf>
      <numFmt numFmtId="166" formatCode="_-* #,##0_-;\-* #,##0_-;_-* &quot;-&quot;??_-;_-@_-"/>
    </dxf>
    <dxf>
      <numFmt numFmtId="167" formatCode="_-[$₦-470]* #,##0.00_-;\-[$₦-470]* #,##0.00_-;_-[$₦-470]* &quot;-&quot;??_-;_-@_-"/>
    </dxf>
    <dxf>
      <numFmt numFmtId="167" formatCode="_-[$₦-470]* #,##0.00_-;\-[$₦-470]* #,##0.00_-;_-[$₦-470]* &quot;-&quot;??_-;_-@_-"/>
    </dxf>
    <dxf>
      <numFmt numFmtId="166" formatCode="_-* #,##0_-;\-* #,##0_-;_-* &quot;-&quot;??_-;_-@_-"/>
    </dxf>
    <dxf>
      <font>
        <b val="0"/>
        <i val="0"/>
        <strike val="0"/>
        <condense val="0"/>
        <extend val="0"/>
        <outline val="0"/>
        <shadow val="0"/>
        <u val="none"/>
        <vertAlign val="baseline"/>
        <sz val="11"/>
        <color theme="1"/>
        <name val="Calibri"/>
        <scheme val="minor"/>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8"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8"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general"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s>
  <tableStyles count="0" defaultTableStyle="TableStyleMedium2" defaultPivotStyle="PivotStyleLight16"/>
  <colors>
    <mruColors>
      <color rgb="FF008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[TimothyJohn_Task_8_Final_Capstone_Report.xlsx]Analysis!PivotTable7</c:name>
    <c:fmtId val="3"/>
  </c:pivotSource>
  <c:chart>
    <c:title>
      <c:tx>
        <c:rich>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r>
              <a:rPr lang="en-US" sz="1800" b="1">
                <a:solidFill>
                  <a:schemeClr val="tx2"/>
                </a:solidFill>
              </a:rPr>
              <a:t>Product </a:t>
            </a:r>
            <a:r>
              <a:rPr lang="en-US" sz="1800" b="1" i="0" u="none" strike="noStrike" baseline="0">
                <a:solidFill>
                  <a:schemeClr val="tx2"/>
                </a:solidFill>
                <a:effectLst/>
              </a:rPr>
              <a:t>Revenue</a:t>
            </a:r>
            <a:endParaRPr lang="en-US" sz="1800" b="1">
              <a:solidFill>
                <a:schemeClr val="tx2"/>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712279935891667E-2"/>
          <c:y val="0.10333733222352898"/>
          <c:w val="0.9425754401282167"/>
          <c:h val="0.77475043442999525"/>
        </c:manualLayout>
      </c:layout>
      <c:barChart>
        <c:barDir val="col"/>
        <c:grouping val="clustered"/>
        <c:varyColors val="0"/>
        <c:ser>
          <c:idx val="0"/>
          <c:order val="0"/>
          <c:tx>
            <c:strRef>
              <c:f>Analysis!$C$19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Analysis!$B$20:$B$30</c:f>
              <c:strCache>
                <c:ptCount val="10"/>
                <c:pt idx="0">
                  <c:v>Monitor</c:v>
                </c:pt>
                <c:pt idx="1">
                  <c:v>Printer</c:v>
                </c:pt>
                <c:pt idx="2">
                  <c:v>Tablet</c:v>
                </c:pt>
                <c:pt idx="3">
                  <c:v>Desk</c:v>
                </c:pt>
                <c:pt idx="4">
                  <c:v>Laptop</c:v>
                </c:pt>
                <c:pt idx="5">
                  <c:v>External Drive</c:v>
                </c:pt>
                <c:pt idx="6">
                  <c:v>Headset</c:v>
                </c:pt>
                <c:pt idx="7">
                  <c:v>Office Chair</c:v>
                </c:pt>
                <c:pt idx="8">
                  <c:v>Keyboard</c:v>
                </c:pt>
                <c:pt idx="9">
                  <c:v>Mouse</c:v>
                </c:pt>
              </c:strCache>
            </c:strRef>
          </c:cat>
          <c:val>
            <c:numRef>
              <c:f>Analysis!$C$20:$C$30</c:f>
              <c:numCache>
                <c:formatCode>_-* #,##0_-;\-* #,##0_-;_-* "-"??_-;_-@_-</c:formatCode>
                <c:ptCount val="10"/>
                <c:pt idx="0">
                  <c:v>7992000</c:v>
                </c:pt>
                <c:pt idx="1">
                  <c:v>7104000</c:v>
                </c:pt>
                <c:pt idx="2">
                  <c:v>6512000</c:v>
                </c:pt>
                <c:pt idx="3">
                  <c:v>6174000</c:v>
                </c:pt>
                <c:pt idx="4">
                  <c:v>5220000</c:v>
                </c:pt>
                <c:pt idx="5">
                  <c:v>4410000</c:v>
                </c:pt>
                <c:pt idx="6">
                  <c:v>1850000</c:v>
                </c:pt>
                <c:pt idx="7">
                  <c:v>1406000</c:v>
                </c:pt>
                <c:pt idx="8">
                  <c:v>1110000</c:v>
                </c:pt>
                <c:pt idx="9">
                  <c:v>235200</c:v>
                </c:pt>
              </c:numCache>
            </c:numRef>
          </c:val>
          <c:extLst>
            <c:ext xmlns:c16="http://schemas.microsoft.com/office/drawing/2014/chart" uri="{C3380CC4-5D6E-409C-BE32-E72D297353CC}">
              <c16:uniqueId val="{00000000-2D67-4AB8-8770-AB0F52E3F995}"/>
            </c:ext>
          </c:extLst>
        </c:ser>
        <c:dLbls>
          <c:dLblPos val="outEnd"/>
          <c:showLegendKey val="0"/>
          <c:showVal val="1"/>
          <c:showCatName val="0"/>
          <c:showSerName val="0"/>
          <c:showPercent val="0"/>
          <c:showBubbleSize val="0"/>
        </c:dLbls>
        <c:gapWidth val="219"/>
        <c:overlap val="-27"/>
        <c:axId val="402596272"/>
        <c:axId val="402602544"/>
      </c:barChart>
      <c:catAx>
        <c:axId val="40259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402602544"/>
        <c:crosses val="autoZero"/>
        <c:auto val="1"/>
        <c:lblAlgn val="ctr"/>
        <c:lblOffset val="100"/>
        <c:noMultiLvlLbl val="0"/>
      </c:catAx>
      <c:valAx>
        <c:axId val="402602544"/>
        <c:scaling>
          <c:orientation val="minMax"/>
        </c:scaling>
        <c:delete val="1"/>
        <c:axPos val="l"/>
        <c:numFmt formatCode="_-* #,##0_-;\-* #,##0_-;_-* &quot;-&quot;??_-;_-@_-" sourceLinked="1"/>
        <c:majorTickMark val="none"/>
        <c:minorTickMark val="none"/>
        <c:tickLblPos val="nextTo"/>
        <c:crossAx val="402596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[TimothyJohn_Task_8_Final_Capstone_Report.xlsx]Analysis!PivotTable8</c:name>
    <c:fmtId val="3"/>
  </c:pivotSource>
  <c:chart>
    <c:title>
      <c:tx>
        <c:rich>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r>
              <a:rPr lang="en-US" sz="1800" b="1">
                <a:solidFill>
                  <a:schemeClr val="tx2"/>
                </a:solidFill>
              </a:rPr>
              <a:t>Category Revenue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752475964823599E-2"/>
          <c:y val="0.11777174989581071"/>
          <c:w val="0.94249504807035278"/>
          <c:h val="0.79678345824931263"/>
        </c:manualLayout>
      </c:layout>
      <c:barChart>
        <c:barDir val="col"/>
        <c:grouping val="clustered"/>
        <c:varyColors val="0"/>
        <c:ser>
          <c:idx val="0"/>
          <c:order val="0"/>
          <c:tx>
            <c:strRef>
              <c:f>Analysis!$C$33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Analysis!$B$34:$B$38</c:f>
              <c:strCache>
                <c:ptCount val="4"/>
                <c:pt idx="0">
                  <c:v>Electronics</c:v>
                </c:pt>
                <c:pt idx="1">
                  <c:v>Furniture</c:v>
                </c:pt>
                <c:pt idx="2">
                  <c:v>Office Equipment</c:v>
                </c:pt>
                <c:pt idx="3">
                  <c:v>Accessories</c:v>
                </c:pt>
              </c:strCache>
            </c:strRef>
          </c:cat>
          <c:val>
            <c:numRef>
              <c:f>Analysis!$C$34:$C$38</c:f>
              <c:numCache>
                <c:formatCode>_-* #,##0_-;\-* #,##0_-;_-* "-"??_-;_-@_-</c:formatCode>
                <c:ptCount val="4"/>
                <c:pt idx="0">
                  <c:v>24134000</c:v>
                </c:pt>
                <c:pt idx="1">
                  <c:v>7580000</c:v>
                </c:pt>
                <c:pt idx="2">
                  <c:v>7104000</c:v>
                </c:pt>
                <c:pt idx="3">
                  <c:v>3195200</c:v>
                </c:pt>
              </c:numCache>
            </c:numRef>
          </c:val>
          <c:extLst>
            <c:ext xmlns:c16="http://schemas.microsoft.com/office/drawing/2014/chart" uri="{C3380CC4-5D6E-409C-BE32-E72D297353CC}">
              <c16:uniqueId val="{00000000-B6E8-4DA4-AC2C-BA251513669D}"/>
            </c:ext>
          </c:extLst>
        </c:ser>
        <c:dLbls>
          <c:dLblPos val="outEnd"/>
          <c:showLegendKey val="0"/>
          <c:showVal val="1"/>
          <c:showCatName val="0"/>
          <c:showSerName val="0"/>
          <c:showPercent val="0"/>
          <c:showBubbleSize val="0"/>
        </c:dLbls>
        <c:gapWidth val="219"/>
        <c:overlap val="-27"/>
        <c:axId val="402597840"/>
        <c:axId val="402597448"/>
      </c:barChart>
      <c:catAx>
        <c:axId val="40259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402597448"/>
        <c:crosses val="autoZero"/>
        <c:auto val="1"/>
        <c:lblAlgn val="ctr"/>
        <c:lblOffset val="100"/>
        <c:noMultiLvlLbl val="0"/>
      </c:catAx>
      <c:valAx>
        <c:axId val="402597448"/>
        <c:scaling>
          <c:orientation val="minMax"/>
        </c:scaling>
        <c:delete val="1"/>
        <c:axPos val="l"/>
        <c:numFmt formatCode="_-* #,##0_-;\-* #,##0_-;_-* &quot;-&quot;??_-;_-@_-" sourceLinked="1"/>
        <c:majorTickMark val="none"/>
        <c:minorTickMark val="none"/>
        <c:tickLblPos val="nextTo"/>
        <c:crossAx val="402597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[TimothyJohn_Task_8_Final_Capstone_Report.xlsx]Analysis!PivotTable9</c:name>
    <c:fmtId val="3"/>
  </c:pivotSource>
  <c:chart>
    <c:title>
      <c:tx>
        <c:rich>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r>
              <a:rPr lang="en-US" sz="1800" b="1">
                <a:solidFill>
                  <a:schemeClr val="tx2"/>
                </a:solidFill>
              </a:rPr>
              <a:t>City Revenue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6284372681263"/>
          <c:y val="0.10361445308188398"/>
          <c:w val="0.7864292279920706"/>
          <c:h val="0.85704965614180517"/>
        </c:manualLayout>
      </c:layout>
      <c:barChart>
        <c:barDir val="bar"/>
        <c:grouping val="clustered"/>
        <c:varyColors val="0"/>
        <c:ser>
          <c:idx val="0"/>
          <c:order val="0"/>
          <c:tx>
            <c:strRef>
              <c:f>Analysis!$C$41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Analysis!$B$42:$B$55</c:f>
              <c:strCache>
                <c:ptCount val="13"/>
                <c:pt idx="0">
                  <c:v>Enugu</c:v>
                </c:pt>
                <c:pt idx="1">
                  <c:v>Abeokuta</c:v>
                </c:pt>
                <c:pt idx="2">
                  <c:v>Calabar</c:v>
                </c:pt>
                <c:pt idx="3">
                  <c:v>Port Harcourt</c:v>
                </c:pt>
                <c:pt idx="4">
                  <c:v>Asaba</c:v>
                </c:pt>
                <c:pt idx="5">
                  <c:v>Uyo</c:v>
                </c:pt>
                <c:pt idx="6">
                  <c:v>Warri</c:v>
                </c:pt>
                <c:pt idx="7">
                  <c:v>Kaduna</c:v>
                </c:pt>
                <c:pt idx="8">
                  <c:v>Benin City</c:v>
                </c:pt>
                <c:pt idx="9">
                  <c:v>Ibadan</c:v>
                </c:pt>
                <c:pt idx="10">
                  <c:v>Lagos</c:v>
                </c:pt>
                <c:pt idx="11">
                  <c:v>Abuja</c:v>
                </c:pt>
                <c:pt idx="12">
                  <c:v>Kano</c:v>
                </c:pt>
              </c:strCache>
            </c:strRef>
          </c:cat>
          <c:val>
            <c:numRef>
              <c:f>Analysis!$C$42:$C$55</c:f>
              <c:numCache>
                <c:formatCode>_-* #,##0_-;\-* #,##0_-;_-* "-"??_-;_-@_-</c:formatCode>
                <c:ptCount val="13"/>
                <c:pt idx="0">
                  <c:v>125600</c:v>
                </c:pt>
                <c:pt idx="1">
                  <c:v>755250</c:v>
                </c:pt>
                <c:pt idx="2">
                  <c:v>856250</c:v>
                </c:pt>
                <c:pt idx="3">
                  <c:v>1103350</c:v>
                </c:pt>
                <c:pt idx="4">
                  <c:v>2055000</c:v>
                </c:pt>
                <c:pt idx="5">
                  <c:v>3058000</c:v>
                </c:pt>
                <c:pt idx="6">
                  <c:v>3082500</c:v>
                </c:pt>
                <c:pt idx="7">
                  <c:v>3336000</c:v>
                </c:pt>
                <c:pt idx="8">
                  <c:v>3398250</c:v>
                </c:pt>
                <c:pt idx="9">
                  <c:v>4376750</c:v>
                </c:pt>
                <c:pt idx="10">
                  <c:v>5573250</c:v>
                </c:pt>
                <c:pt idx="11">
                  <c:v>7071000</c:v>
                </c:pt>
                <c:pt idx="12">
                  <c:v>7222000</c:v>
                </c:pt>
              </c:numCache>
            </c:numRef>
          </c:val>
          <c:extLst>
            <c:ext xmlns:c16="http://schemas.microsoft.com/office/drawing/2014/chart" uri="{C3380CC4-5D6E-409C-BE32-E72D297353CC}">
              <c16:uniqueId val="{00000000-A615-4386-A8E4-E9596186A630}"/>
            </c:ext>
          </c:extLst>
        </c:ser>
        <c:dLbls>
          <c:dLblPos val="outEnd"/>
          <c:showLegendKey val="0"/>
          <c:showVal val="1"/>
          <c:showCatName val="0"/>
          <c:showSerName val="0"/>
          <c:showPercent val="0"/>
          <c:showBubbleSize val="0"/>
        </c:dLbls>
        <c:gapWidth val="182"/>
        <c:axId val="400907728"/>
        <c:axId val="400906944"/>
      </c:barChart>
      <c:catAx>
        <c:axId val="40090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400906944"/>
        <c:crosses val="autoZero"/>
        <c:auto val="1"/>
        <c:lblAlgn val="ctr"/>
        <c:lblOffset val="100"/>
        <c:noMultiLvlLbl val="0"/>
      </c:catAx>
      <c:valAx>
        <c:axId val="400906944"/>
        <c:scaling>
          <c:orientation val="minMax"/>
        </c:scaling>
        <c:delete val="1"/>
        <c:axPos val="b"/>
        <c:numFmt formatCode="_-* #,##0_-;\-* #,##0_-;_-* &quot;-&quot;??_-;_-@_-" sourceLinked="1"/>
        <c:majorTickMark val="none"/>
        <c:minorTickMark val="none"/>
        <c:tickLblPos val="nextTo"/>
        <c:crossAx val="400907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[TimothyJohn_Task_8_Final_Capstone_Report.xlsx]Analysis!PivotTable1</c:name>
    <c:fmtId val="3"/>
  </c:pivotSource>
  <c:chart>
    <c:title>
      <c:tx>
        <c:rich>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r>
              <a:rPr lang="en-US" sz="1800" b="1">
                <a:solidFill>
                  <a:schemeClr val="tx2"/>
                </a:solidFill>
              </a:rPr>
              <a:t>Monthly Sales Trend</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95339375211219"/>
          <c:y val="0.20690408570935179"/>
          <c:w val="0.76918929425771265"/>
          <c:h val="0.70715495031713971"/>
        </c:manualLayout>
      </c:layout>
      <c:lineChart>
        <c:grouping val="standard"/>
        <c:varyColors val="0"/>
        <c:ser>
          <c:idx val="0"/>
          <c:order val="0"/>
          <c:tx>
            <c:strRef>
              <c:f>Analysis!$C$58</c:f>
              <c:strCache>
                <c:ptCount val="1"/>
                <c:pt idx="0">
                  <c:v>Total</c:v>
                </c:pt>
              </c:strCache>
            </c:strRef>
          </c:tx>
          <c:spPr>
            <a:ln w="28575" cap="rnd">
              <a:solidFill>
                <a:schemeClr val="accent1"/>
              </a:solidFill>
              <a:round/>
            </a:ln>
            <a:effectLst/>
          </c:spPr>
          <c:marker>
            <c:symbol val="none"/>
          </c:marker>
          <c:cat>
            <c:strRef>
              <c:f>Analysis!$B$59:$B$65</c:f>
              <c:strCache>
                <c:ptCount val="6"/>
                <c:pt idx="0">
                  <c:v>Jun</c:v>
                </c:pt>
                <c:pt idx="1">
                  <c:v>May</c:v>
                </c:pt>
                <c:pt idx="2">
                  <c:v>Apr</c:v>
                </c:pt>
                <c:pt idx="3">
                  <c:v>Mar</c:v>
                </c:pt>
                <c:pt idx="4">
                  <c:v>Feb</c:v>
                </c:pt>
                <c:pt idx="5">
                  <c:v>Jan</c:v>
                </c:pt>
              </c:strCache>
            </c:strRef>
          </c:cat>
          <c:val>
            <c:numRef>
              <c:f>Analysis!$C$59:$C$65</c:f>
              <c:numCache>
                <c:formatCode>_-* #,##0.00_-;\-* #,##0.00_-;_-* "-"??_-;_-@_-</c:formatCode>
                <c:ptCount val="6"/>
                <c:pt idx="0">
                  <c:v>5283400</c:v>
                </c:pt>
                <c:pt idx="1">
                  <c:v>8717500</c:v>
                </c:pt>
                <c:pt idx="2">
                  <c:v>5289950</c:v>
                </c:pt>
                <c:pt idx="3">
                  <c:v>8660250</c:v>
                </c:pt>
                <c:pt idx="4">
                  <c:v>5319850</c:v>
                </c:pt>
                <c:pt idx="5">
                  <c:v>8742250</c:v>
                </c:pt>
              </c:numCache>
            </c:numRef>
          </c:val>
          <c:smooth val="0"/>
          <c:extLst>
            <c:ext xmlns:c16="http://schemas.microsoft.com/office/drawing/2014/chart" uri="{C3380CC4-5D6E-409C-BE32-E72D297353CC}">
              <c16:uniqueId val="{00000000-4611-4CE2-9D32-D3368976FA47}"/>
            </c:ext>
          </c:extLst>
        </c:ser>
        <c:dLbls>
          <c:showLegendKey val="0"/>
          <c:showVal val="0"/>
          <c:showCatName val="0"/>
          <c:showSerName val="0"/>
          <c:showPercent val="0"/>
          <c:showBubbleSize val="0"/>
        </c:dLbls>
        <c:smooth val="0"/>
        <c:axId val="400910472"/>
        <c:axId val="400914000"/>
      </c:lineChart>
      <c:catAx>
        <c:axId val="400910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400914000"/>
        <c:crosses val="autoZero"/>
        <c:auto val="1"/>
        <c:lblAlgn val="ctr"/>
        <c:lblOffset val="100"/>
        <c:noMultiLvlLbl val="0"/>
      </c:catAx>
      <c:valAx>
        <c:axId val="400914000"/>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400910472"/>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[TimothyJohn_Task_8_Final_Capstone_Report.xlsx]Analysis!PivotTable2</c:name>
    <c:fmtId val="7"/>
  </c:pivotSource>
  <c:chart>
    <c:title>
      <c:tx>
        <c:rich>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r>
              <a:rPr lang="en-US" sz="1800" b="1">
                <a:solidFill>
                  <a:schemeClr val="tx2"/>
                </a:solidFill>
              </a:rPr>
              <a:t>Sales by Customer Type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11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661052631578946"/>
                  <c:h val="0.20056226072928024"/>
                </c:manualLayout>
              </c15:layout>
            </c:ext>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171228070175436"/>
                  <c:h val="0.11035174323523694"/>
                </c:manualLayout>
              </c15:layout>
            </c:ext>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t" anchorCtr="1">
              <a:spAutoFit/>
            </a:bodyPr>
            <a:lstStyle/>
            <a:p>
              <a:pPr>
                <a:defRPr sz="14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473695261776489"/>
                  <c:h val="0.20056226072928024"/>
                </c:manualLayout>
              </c15:layout>
            </c:ext>
          </c:extLst>
        </c:dLbl>
      </c:pivotFmt>
    </c:pivotFmts>
    <c:plotArea>
      <c:layout>
        <c:manualLayout>
          <c:layoutTarget val="inner"/>
          <c:xMode val="edge"/>
          <c:yMode val="edge"/>
          <c:x val="0.15200110512501727"/>
          <c:y val="0.12916574033226985"/>
          <c:w val="0.58852659207072799"/>
          <c:h val="0.77483701364534219"/>
        </c:manualLayout>
      </c:layout>
      <c:doughnutChart>
        <c:varyColors val="1"/>
        <c:ser>
          <c:idx val="0"/>
          <c:order val="0"/>
          <c:tx>
            <c:strRef>
              <c:f>Analysis!$C$68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F9-4BBE-8A62-FE66DA6C70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F9-4BBE-8A62-FE66DA6C70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F9-4BBE-8A62-FE66DA6C70AA}"/>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661052631578946"/>
                      <c:h val="0.20056226072928024"/>
                    </c:manualLayout>
                  </c15:layout>
                </c:ext>
                <c:ext xmlns:c16="http://schemas.microsoft.com/office/drawing/2014/chart" uri="{C3380CC4-5D6E-409C-BE32-E72D297353CC}">
                  <c16:uniqueId val="{00000001-ABF9-4BBE-8A62-FE66DA6C70AA}"/>
                </c:ext>
              </c:extLst>
            </c:dLbl>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171228070175436"/>
                      <c:h val="0.11035174323523694"/>
                    </c:manualLayout>
                  </c15:layout>
                </c:ext>
                <c:ext xmlns:c16="http://schemas.microsoft.com/office/drawing/2014/chart" uri="{C3380CC4-5D6E-409C-BE32-E72D297353CC}">
                  <c16:uniqueId val="{00000003-ABF9-4BBE-8A62-FE66DA6C70AA}"/>
                </c:ext>
              </c:extLst>
            </c:dLbl>
            <c:dLbl>
              <c:idx val="2"/>
              <c:spPr>
                <a:noFill/>
                <a:ln>
                  <a:noFill/>
                </a:ln>
                <a:effectLst/>
              </c:spPr>
              <c:txPr>
                <a:bodyPr rot="0" spcFirstLastPara="1" vertOverflow="ellipsis" vert="horz" wrap="square" lIns="38100" tIns="19050" rIns="38100" bIns="19050" anchor="t" anchorCtr="1">
                  <a:spAutoFit/>
                </a:bodyPr>
                <a:lstStyle/>
                <a:p>
                  <a:pPr>
                    <a:defRPr sz="14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473695261776489"/>
                      <c:h val="0.20056226072928024"/>
                    </c:manualLayout>
                  </c15:layout>
                </c:ext>
                <c:ext xmlns:c16="http://schemas.microsoft.com/office/drawing/2014/chart" uri="{C3380CC4-5D6E-409C-BE32-E72D297353CC}">
                  <c16:uniqueId val="{00000005-ABF9-4BBE-8A62-FE66DA6C70AA}"/>
                </c:ext>
              </c:extLst>
            </c:dLbl>
            <c:spPr>
              <a:noFill/>
              <a:ln>
                <a:noFill/>
              </a:ln>
              <a:effectLst/>
            </c:spPr>
            <c:txPr>
              <a:bodyPr rot="0" spcFirstLastPara="1" vertOverflow="ellipsis" vert="horz" wrap="square" lIns="38100" tIns="19050" rIns="38100" bIns="19050" anchor="t" anchorCtr="1">
                <a:spAutoFit/>
              </a:bodyPr>
              <a:lstStyle/>
              <a:p>
                <a:pPr>
                  <a:defRPr sz="11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Analysis!$B$69:$B$72</c:f>
              <c:strCache>
                <c:ptCount val="3"/>
                <c:pt idx="0">
                  <c:v>Retail</c:v>
                </c:pt>
                <c:pt idx="1">
                  <c:v>Corporate</c:v>
                </c:pt>
                <c:pt idx="2">
                  <c:v>Wholesale</c:v>
                </c:pt>
              </c:strCache>
            </c:strRef>
          </c:cat>
          <c:val>
            <c:numRef>
              <c:f>Analysis!$C$69:$C$72</c:f>
              <c:numCache>
                <c:formatCode>_-* #,##0.00_-;\-* #,##0.00_-;_-* "-"??_-;_-@_-</c:formatCode>
                <c:ptCount val="3"/>
                <c:pt idx="0">
                  <c:v>23075850</c:v>
                </c:pt>
                <c:pt idx="1">
                  <c:v>16320350</c:v>
                </c:pt>
                <c:pt idx="2">
                  <c:v>2617000</c:v>
                </c:pt>
              </c:numCache>
            </c:numRef>
          </c:val>
          <c:extLst>
            <c:ext xmlns:c16="http://schemas.microsoft.com/office/drawing/2014/chart" uri="{C3380CC4-5D6E-409C-BE32-E72D297353CC}">
              <c16:uniqueId val="{00000006-ABF9-4BBE-8A62-FE66DA6C70A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0997949993092977"/>
          <c:y val="0.70090650793078046"/>
          <c:w val="0.17037137726205276"/>
          <c:h val="0.24113570731014608"/>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55486</xdr:colOff>
      <xdr:row>3</xdr:row>
      <xdr:rowOff>41920</xdr:rowOff>
    </xdr:from>
    <xdr:to>
      <xdr:col>9</xdr:col>
      <xdr:colOff>16335</xdr:colOff>
      <xdr:row>22</xdr:row>
      <xdr:rowOff>11907</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210892" y="815826"/>
              <a:ext cx="1318160" cy="3779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408245</xdr:colOff>
      <xdr:row>3</xdr:row>
      <xdr:rowOff>52996</xdr:rowOff>
    </xdr:from>
    <xdr:to>
      <xdr:col>14</xdr:col>
      <xdr:colOff>409575</xdr:colOff>
      <xdr:row>10</xdr:row>
      <xdr:rowOff>76698</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135401" y="826902"/>
              <a:ext cx="1822985" cy="14524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398277</xdr:colOff>
      <xdr:row>3</xdr:row>
      <xdr:rowOff>52996</xdr:rowOff>
    </xdr:from>
    <xdr:to>
      <xdr:col>11</xdr:col>
      <xdr:colOff>151454</xdr:colOff>
      <xdr:row>13</xdr:row>
      <xdr:rowOff>276</xdr:rowOff>
    </xdr:to>
    <mc:AlternateContent xmlns:mc="http://schemas.openxmlformats.org/markup-compatibility/2006" xmlns:a14="http://schemas.microsoft.com/office/drawing/2010/main">
      <mc:Choice Requires="a14">
        <xdr:graphicFrame macro="">
          <xdr:nvGraphicFramePr>
            <xdr:cNvPr id="4" name="TransactionDate">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TransactionDate"/>
            </a:graphicData>
          </a:graphic>
        </xdr:graphicFrame>
      </mc:Choice>
      <mc:Fallback xmlns="">
        <xdr:sp macro="" textlink="">
          <xdr:nvSpPr>
            <xdr:cNvPr id="0" name=""/>
            <xdr:cNvSpPr>
              <a:spLocks noTextEdit="1"/>
            </xdr:cNvSpPr>
          </xdr:nvSpPr>
          <xdr:spPr>
            <a:xfrm>
              <a:off x="6910996" y="826902"/>
              <a:ext cx="967616" cy="1947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283029</xdr:colOff>
      <xdr:row>0</xdr:row>
      <xdr:rowOff>149679</xdr:rowOff>
    </xdr:from>
    <xdr:to>
      <xdr:col>25</xdr:col>
      <xdr:colOff>285751</xdr:colOff>
      <xdr:row>48</xdr:row>
      <xdr:rowOff>1</xdr:rowOff>
    </xdr:to>
    <xdr:sp macro="" textlink="">
      <xdr:nvSpPr>
        <xdr:cNvPr id="2" name="Rounded Rectangle 1">
          <a:extLst>
            <a:ext uri="{FF2B5EF4-FFF2-40B4-BE49-F238E27FC236}">
              <a16:creationId xmlns:a16="http://schemas.microsoft.com/office/drawing/2014/main" id="{00000000-0008-0000-0600-000002000000}"/>
            </a:ext>
          </a:extLst>
        </xdr:cNvPr>
        <xdr:cNvSpPr/>
      </xdr:nvSpPr>
      <xdr:spPr>
        <a:xfrm>
          <a:off x="902154" y="149679"/>
          <a:ext cx="14861722" cy="8994322"/>
        </a:xfrm>
        <a:prstGeom prst="roundRect">
          <a:avLst>
            <a:gd name="adj" fmla="val 2962"/>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1</xdr:col>
      <xdr:colOff>488895</xdr:colOff>
      <xdr:row>0</xdr:row>
      <xdr:rowOff>170088</xdr:rowOff>
    </xdr:from>
    <xdr:to>
      <xdr:col>25</xdr:col>
      <xdr:colOff>78441</xdr:colOff>
      <xdr:row>4</xdr:row>
      <xdr:rowOff>136070</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1094013" y="170088"/>
          <a:ext cx="14112369" cy="727982"/>
        </a:xfrm>
        <a:prstGeom prst="rect">
          <a:avLst/>
        </a:prstGeom>
        <a:noFill/>
        <a:ln w="12700"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6000" b="1" i="0" u="none" strike="noStrike">
              <a:solidFill>
                <a:sysClr val="windowText" lastClr="000000"/>
              </a:solidFill>
              <a:effectLst/>
              <a:latin typeface="+mn-lt"/>
              <a:ea typeface="+mn-ea"/>
              <a:cs typeface="+mn-cs"/>
            </a:rPr>
            <a:t>Retail Sales Performance Analysis</a:t>
          </a:r>
          <a:endParaRPr lang="en-US" sz="6000" b="1">
            <a:solidFill>
              <a:sysClr val="windowText" lastClr="000000"/>
            </a:solidFill>
            <a:effectLst/>
          </a:endParaRPr>
        </a:p>
      </xdr:txBody>
    </xdr:sp>
    <xdr:clientData/>
  </xdr:twoCellAnchor>
  <xdr:twoCellAnchor>
    <xdr:from>
      <xdr:col>1</xdr:col>
      <xdr:colOff>488895</xdr:colOff>
      <xdr:row>5</xdr:row>
      <xdr:rowOff>37009</xdr:rowOff>
    </xdr:from>
    <xdr:to>
      <xdr:col>8</xdr:col>
      <xdr:colOff>403170</xdr:colOff>
      <xdr:row>9</xdr:row>
      <xdr:rowOff>97692</xdr:rowOff>
    </xdr:to>
    <xdr:grpSp>
      <xdr:nvGrpSpPr>
        <xdr:cNvPr id="26" name="Group 25">
          <a:extLst>
            <a:ext uri="{FF2B5EF4-FFF2-40B4-BE49-F238E27FC236}">
              <a16:creationId xmlns:a16="http://schemas.microsoft.com/office/drawing/2014/main" id="{00000000-0008-0000-0600-00001A000000}"/>
            </a:ext>
          </a:extLst>
        </xdr:cNvPr>
        <xdr:cNvGrpSpPr/>
      </xdr:nvGrpSpPr>
      <xdr:grpSpPr>
        <a:xfrm>
          <a:off x="1095031" y="989509"/>
          <a:ext cx="4157230" cy="822683"/>
          <a:chOff x="1125752" y="931421"/>
          <a:chExt cx="3037960" cy="997637"/>
        </a:xfrm>
      </xdr:grpSpPr>
      <xdr:sp macro="" textlink="Analysis!B4">
        <xdr:nvSpPr>
          <xdr:cNvPr id="4" name="TextBox 3">
            <a:extLst>
              <a:ext uri="{FF2B5EF4-FFF2-40B4-BE49-F238E27FC236}">
                <a16:creationId xmlns:a16="http://schemas.microsoft.com/office/drawing/2014/main" id="{00000000-0008-0000-0600-000004000000}"/>
              </a:ext>
            </a:extLst>
          </xdr:cNvPr>
          <xdr:cNvSpPr txBox="1"/>
        </xdr:nvSpPr>
        <xdr:spPr>
          <a:xfrm>
            <a:off x="1125754" y="1360484"/>
            <a:ext cx="3037958" cy="568574"/>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B60BC47-DBA3-4A52-A241-21896CCD3E10}" type="TxLink">
              <a:rPr lang="en-US" sz="2000" b="1" i="0" u="none" strike="noStrike">
                <a:solidFill>
                  <a:srgbClr val="008E00"/>
                </a:solidFill>
                <a:latin typeface="Calibri"/>
                <a:cs typeface="Calibri"/>
              </a:rPr>
              <a:pPr algn="ctr"/>
              <a:t> ₦42,013,200.00 </a:t>
            </a:fld>
            <a:endParaRPr lang="en-US" sz="2000" b="1">
              <a:solidFill>
                <a:srgbClr val="008E00"/>
              </a:solidFill>
            </a:endParaRPr>
          </a:p>
        </xdr:txBody>
      </xdr:sp>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1125752" y="931421"/>
            <a:ext cx="3037960" cy="411549"/>
          </a:xfrm>
          <a:prstGeom prst="rect">
            <a:avLst/>
          </a:prstGeom>
          <a:solidFill>
            <a:schemeClr val="bg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Total Revenue</a:t>
            </a:r>
          </a:p>
        </xdr:txBody>
      </xdr:sp>
    </xdr:grpSp>
    <xdr:clientData/>
  </xdr:twoCellAnchor>
  <xdr:twoCellAnchor>
    <xdr:from>
      <xdr:col>8</xdr:col>
      <xdr:colOff>544546</xdr:colOff>
      <xdr:row>5</xdr:row>
      <xdr:rowOff>46056</xdr:rowOff>
    </xdr:from>
    <xdr:to>
      <xdr:col>14</xdr:col>
      <xdr:colOff>214311</xdr:colOff>
      <xdr:row>9</xdr:row>
      <xdr:rowOff>94901</xdr:rowOff>
    </xdr:to>
    <xdr:grpSp>
      <xdr:nvGrpSpPr>
        <xdr:cNvPr id="22" name="Group 21">
          <a:extLst>
            <a:ext uri="{FF2B5EF4-FFF2-40B4-BE49-F238E27FC236}">
              <a16:creationId xmlns:a16="http://schemas.microsoft.com/office/drawing/2014/main" id="{00000000-0008-0000-0600-000016000000}"/>
            </a:ext>
          </a:extLst>
        </xdr:cNvPr>
        <xdr:cNvGrpSpPr/>
      </xdr:nvGrpSpPr>
      <xdr:grpSpPr>
        <a:xfrm>
          <a:off x="5393637" y="998556"/>
          <a:ext cx="3306583" cy="810845"/>
          <a:chOff x="2380407" y="928408"/>
          <a:chExt cx="1396256" cy="473447"/>
        </a:xfrm>
      </xdr:grpSpPr>
      <xdr:sp macro="" textlink="Analysis!B8">
        <xdr:nvSpPr>
          <xdr:cNvPr id="7" name="TextBox 6">
            <a:extLst>
              <a:ext uri="{FF2B5EF4-FFF2-40B4-BE49-F238E27FC236}">
                <a16:creationId xmlns:a16="http://schemas.microsoft.com/office/drawing/2014/main" id="{00000000-0008-0000-0600-000007000000}"/>
              </a:ext>
            </a:extLst>
          </xdr:cNvPr>
          <xdr:cNvSpPr txBox="1"/>
        </xdr:nvSpPr>
        <xdr:spPr>
          <a:xfrm>
            <a:off x="2380407" y="1125911"/>
            <a:ext cx="1396256" cy="275944"/>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B25290-7D49-42BB-BBA2-4BD22F058F03}" type="TxLink">
              <a:rPr lang="en-US" sz="2000" b="1" i="0" u="none" strike="noStrike">
                <a:solidFill>
                  <a:schemeClr val="accent1"/>
                </a:solidFill>
                <a:latin typeface="Calibri"/>
                <a:cs typeface="Calibri"/>
              </a:rPr>
              <a:pPr algn="ctr"/>
              <a:t> 147 </a:t>
            </a:fld>
            <a:endParaRPr lang="en-US" sz="2000" b="1">
              <a:solidFill>
                <a:schemeClr val="accent1"/>
              </a:solidFill>
            </a:endParaRPr>
          </a:p>
        </xdr:txBody>
      </xdr:sp>
      <xdr:sp macro="" textlink="">
        <xdr:nvSpPr>
          <xdr:cNvPr id="8" name="TextBox 7">
            <a:extLst>
              <a:ext uri="{FF2B5EF4-FFF2-40B4-BE49-F238E27FC236}">
                <a16:creationId xmlns:a16="http://schemas.microsoft.com/office/drawing/2014/main" id="{00000000-0008-0000-0600-000008000000}"/>
              </a:ext>
            </a:extLst>
          </xdr:cNvPr>
          <xdr:cNvSpPr txBox="1"/>
        </xdr:nvSpPr>
        <xdr:spPr>
          <a:xfrm>
            <a:off x="2380408" y="928408"/>
            <a:ext cx="1396255" cy="1905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000" b="1" i="0" u="none" strike="noStrike">
                <a:solidFill>
                  <a:sysClr val="windowText" lastClr="000000"/>
                </a:solidFill>
                <a:latin typeface="Calibri"/>
                <a:ea typeface="+mn-ea"/>
                <a:cs typeface="Calibri"/>
              </a:rPr>
              <a:t>Total Transactions</a:t>
            </a:r>
          </a:p>
        </xdr:txBody>
      </xdr:sp>
    </xdr:grpSp>
    <xdr:clientData/>
  </xdr:twoCellAnchor>
  <xdr:twoCellAnchor>
    <xdr:from>
      <xdr:col>14</xdr:col>
      <xdr:colOff>404812</xdr:colOff>
      <xdr:row>5</xdr:row>
      <xdr:rowOff>44224</xdr:rowOff>
    </xdr:from>
    <xdr:to>
      <xdr:col>19</xdr:col>
      <xdr:colOff>282348</xdr:colOff>
      <xdr:row>9</xdr:row>
      <xdr:rowOff>95250</xdr:rowOff>
    </xdr:to>
    <xdr:grpSp>
      <xdr:nvGrpSpPr>
        <xdr:cNvPr id="23" name="Group 22">
          <a:extLst>
            <a:ext uri="{FF2B5EF4-FFF2-40B4-BE49-F238E27FC236}">
              <a16:creationId xmlns:a16="http://schemas.microsoft.com/office/drawing/2014/main" id="{00000000-0008-0000-0600-000017000000}"/>
            </a:ext>
          </a:extLst>
        </xdr:cNvPr>
        <xdr:cNvGrpSpPr/>
      </xdr:nvGrpSpPr>
      <xdr:grpSpPr>
        <a:xfrm>
          <a:off x="8890721" y="996724"/>
          <a:ext cx="2908218" cy="813026"/>
          <a:chOff x="3913372" y="947738"/>
          <a:chExt cx="1395975" cy="473447"/>
        </a:xfrm>
      </xdr:grpSpPr>
      <xdr:sp macro="" textlink="Analysis!B12">
        <xdr:nvSpPr>
          <xdr:cNvPr id="9" name="TextBox 8">
            <a:extLst>
              <a:ext uri="{FF2B5EF4-FFF2-40B4-BE49-F238E27FC236}">
                <a16:creationId xmlns:a16="http://schemas.microsoft.com/office/drawing/2014/main" id="{00000000-0008-0000-0600-000009000000}"/>
              </a:ext>
            </a:extLst>
          </xdr:cNvPr>
          <xdr:cNvSpPr txBox="1"/>
        </xdr:nvSpPr>
        <xdr:spPr>
          <a:xfrm>
            <a:off x="3913372" y="1146641"/>
            <a:ext cx="1395975" cy="274544"/>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A9E92B-ACD1-4D56-A78D-C3D9A18DC33E}" type="TxLink">
              <a:rPr lang="en-US" sz="2000" b="1" i="0" u="none" strike="noStrike">
                <a:solidFill>
                  <a:srgbClr val="FFC000"/>
                </a:solidFill>
                <a:latin typeface="Calibri"/>
                <a:cs typeface="Calibri"/>
              </a:rPr>
              <a:pPr algn="ctr"/>
              <a:t> 447 </a:t>
            </a:fld>
            <a:endParaRPr lang="en-US" sz="2000" b="1">
              <a:solidFill>
                <a:srgbClr val="FFC000"/>
              </a:solidFill>
            </a:endParaRPr>
          </a:p>
        </xdr:txBody>
      </xdr:sp>
      <xdr:sp macro="" textlink="">
        <xdr:nvSpPr>
          <xdr:cNvPr id="10" name="TextBox 9">
            <a:extLst>
              <a:ext uri="{FF2B5EF4-FFF2-40B4-BE49-F238E27FC236}">
                <a16:creationId xmlns:a16="http://schemas.microsoft.com/office/drawing/2014/main" id="{00000000-0008-0000-0600-00000A000000}"/>
              </a:ext>
            </a:extLst>
          </xdr:cNvPr>
          <xdr:cNvSpPr txBox="1"/>
        </xdr:nvSpPr>
        <xdr:spPr>
          <a:xfrm>
            <a:off x="3913373" y="947738"/>
            <a:ext cx="1395974" cy="190500"/>
          </a:xfrm>
          <a:prstGeom prst="rect">
            <a:avLst/>
          </a:prstGeom>
          <a:solidFill>
            <a:schemeClr val="bg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a:solidFill>
                  <a:schemeClr val="dk1"/>
                </a:solidFill>
                <a:latin typeface="+mn-lt"/>
                <a:ea typeface="+mn-ea"/>
                <a:cs typeface="+mn-cs"/>
              </a:rPr>
              <a:t>Total Quantity Sold</a:t>
            </a:r>
          </a:p>
        </xdr:txBody>
      </xdr:sp>
    </xdr:grpSp>
    <xdr:clientData/>
  </xdr:twoCellAnchor>
  <xdr:twoCellAnchor>
    <xdr:from>
      <xdr:col>19</xdr:col>
      <xdr:colOff>385561</xdr:colOff>
      <xdr:row>5</xdr:row>
      <xdr:rowOff>42782</xdr:rowOff>
    </xdr:from>
    <xdr:to>
      <xdr:col>25</xdr:col>
      <xdr:colOff>88446</xdr:colOff>
      <xdr:row>9</xdr:row>
      <xdr:rowOff>95249</xdr:rowOff>
    </xdr:to>
    <xdr:grpSp>
      <xdr:nvGrpSpPr>
        <xdr:cNvPr id="24" name="Group 23">
          <a:extLst>
            <a:ext uri="{FF2B5EF4-FFF2-40B4-BE49-F238E27FC236}">
              <a16:creationId xmlns:a16="http://schemas.microsoft.com/office/drawing/2014/main" id="{00000000-0008-0000-0600-000018000000}"/>
            </a:ext>
          </a:extLst>
        </xdr:cNvPr>
        <xdr:cNvGrpSpPr/>
      </xdr:nvGrpSpPr>
      <xdr:grpSpPr>
        <a:xfrm>
          <a:off x="11902152" y="995282"/>
          <a:ext cx="3339703" cy="814467"/>
          <a:chOff x="5446057" y="954462"/>
          <a:chExt cx="2268354" cy="472046"/>
        </a:xfrm>
      </xdr:grpSpPr>
      <xdr:sp macro="" textlink="Analysis!B16">
        <xdr:nvSpPr>
          <xdr:cNvPr id="11" name="TextBox 10">
            <a:extLst>
              <a:ext uri="{FF2B5EF4-FFF2-40B4-BE49-F238E27FC236}">
                <a16:creationId xmlns:a16="http://schemas.microsoft.com/office/drawing/2014/main" id="{00000000-0008-0000-0600-00000B000000}"/>
              </a:ext>
            </a:extLst>
          </xdr:cNvPr>
          <xdr:cNvSpPr txBox="1"/>
        </xdr:nvSpPr>
        <xdr:spPr>
          <a:xfrm>
            <a:off x="5446057" y="1151964"/>
            <a:ext cx="2268354" cy="274544"/>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AA5839-18AC-4CF1-AED8-BB3AA55FDA4E}" type="TxLink">
              <a:rPr lang="en-US" sz="2000" b="1" i="0" u="none" strike="noStrike">
                <a:solidFill>
                  <a:schemeClr val="accent4">
                    <a:lumMod val="75000"/>
                  </a:schemeClr>
                </a:solidFill>
                <a:latin typeface="Calibri"/>
                <a:cs typeface="Calibri"/>
              </a:rPr>
              <a:pPr algn="ctr"/>
              <a:t> ₦285,804.08 </a:t>
            </a:fld>
            <a:endParaRPr lang="en-US" sz="2000" b="1">
              <a:solidFill>
                <a:schemeClr val="accent4">
                  <a:lumMod val="75000"/>
                </a:schemeClr>
              </a:solidFill>
            </a:endParaRPr>
          </a:p>
        </xdr:txBody>
      </xdr:sp>
      <xdr:sp macro="" textlink="">
        <xdr:nvSpPr>
          <xdr:cNvPr id="12" name="TextBox 11">
            <a:extLst>
              <a:ext uri="{FF2B5EF4-FFF2-40B4-BE49-F238E27FC236}">
                <a16:creationId xmlns:a16="http://schemas.microsoft.com/office/drawing/2014/main" id="{00000000-0008-0000-0600-00000C000000}"/>
              </a:ext>
            </a:extLst>
          </xdr:cNvPr>
          <xdr:cNvSpPr txBox="1"/>
        </xdr:nvSpPr>
        <xdr:spPr>
          <a:xfrm>
            <a:off x="5446057" y="954462"/>
            <a:ext cx="2268352" cy="190499"/>
          </a:xfrm>
          <a:prstGeom prst="rect">
            <a:avLst/>
          </a:prstGeom>
          <a:solidFill>
            <a:schemeClr val="bg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a:solidFill>
                  <a:schemeClr val="dk1"/>
                </a:solidFill>
                <a:latin typeface="+mn-lt"/>
                <a:ea typeface="+mn-ea"/>
                <a:cs typeface="+mn-cs"/>
              </a:rPr>
              <a:t>Average Transaction Value</a:t>
            </a:r>
          </a:p>
        </xdr:txBody>
      </xdr:sp>
    </xdr:grpSp>
    <xdr:clientData/>
  </xdr:twoCellAnchor>
  <xdr:twoCellAnchor editAs="oneCell">
    <xdr:from>
      <xdr:col>17</xdr:col>
      <xdr:colOff>336176</xdr:colOff>
      <xdr:row>16</xdr:row>
      <xdr:rowOff>134471</xdr:rowOff>
    </xdr:from>
    <xdr:to>
      <xdr:col>25</xdr:col>
      <xdr:colOff>88446</xdr:colOff>
      <xdr:row>28</xdr:row>
      <xdr:rowOff>134470</xdr:rowOff>
    </xdr:to>
    <mc:AlternateContent xmlns:mc="http://schemas.openxmlformats.org/markup-compatibility/2006" xmlns:a14="http://schemas.microsoft.com/office/drawing/2010/main">
      <mc:Choice Requires="a14">
        <xdr:graphicFrame macro="">
          <xdr:nvGraphicFramePr>
            <xdr:cNvPr id="13" name="City 1">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591426" y="3182471"/>
              <a:ext cx="4578270" cy="2285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340232</xdr:colOff>
      <xdr:row>10</xdr:row>
      <xdr:rowOff>17878</xdr:rowOff>
    </xdr:from>
    <xdr:to>
      <xdr:col>20</xdr:col>
      <xdr:colOff>537882</xdr:colOff>
      <xdr:row>16</xdr:row>
      <xdr:rowOff>78441</xdr:rowOff>
    </xdr:to>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00000000-0008-0000-0600-00000E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595482" y="1922878"/>
              <a:ext cx="2007400" cy="1203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595203</xdr:colOff>
      <xdr:row>9</xdr:row>
      <xdr:rowOff>184567</xdr:rowOff>
    </xdr:from>
    <xdr:to>
      <xdr:col>25</xdr:col>
      <xdr:colOff>88446</xdr:colOff>
      <xdr:row>16</xdr:row>
      <xdr:rowOff>33618</xdr:rowOff>
    </xdr:to>
    <mc:AlternateContent xmlns:mc="http://schemas.openxmlformats.org/markup-compatibility/2006" xmlns:a14="http://schemas.microsoft.com/office/drawing/2010/main">
      <mc:Choice Requires="a14">
        <xdr:graphicFrame macro="">
          <xdr:nvGraphicFramePr>
            <xdr:cNvPr id="15" name="TransactionDate 1">
              <a:extLst>
                <a:ext uri="{FF2B5EF4-FFF2-40B4-BE49-F238E27FC236}">
                  <a16:creationId xmlns:a16="http://schemas.microsoft.com/office/drawing/2014/main" id="{00000000-0008-0000-0600-00000F000000}"/>
                </a:ext>
              </a:extLst>
            </xdr:cNvPr>
            <xdr:cNvGraphicFramePr/>
          </xdr:nvGraphicFramePr>
          <xdr:xfrm>
            <a:off x="0" y="0"/>
            <a:ext cx="0" cy="0"/>
          </xdr:xfrm>
          <a:graphic>
            <a:graphicData uri="http://schemas.microsoft.com/office/drawing/2010/slicer">
              <sle:slicer xmlns:sle="http://schemas.microsoft.com/office/drawing/2010/slicer" name="TransactionDate 1"/>
            </a:graphicData>
          </a:graphic>
        </xdr:graphicFrame>
      </mc:Choice>
      <mc:Fallback xmlns="">
        <xdr:sp macro="" textlink="">
          <xdr:nvSpPr>
            <xdr:cNvPr id="0" name=""/>
            <xdr:cNvSpPr>
              <a:spLocks noTextEdit="1"/>
            </xdr:cNvSpPr>
          </xdr:nvSpPr>
          <xdr:spPr>
            <a:xfrm>
              <a:off x="12660203" y="1899067"/>
              <a:ext cx="2509493" cy="1182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488895</xdr:colOff>
      <xdr:row>10</xdr:row>
      <xdr:rowOff>4083</xdr:rowOff>
    </xdr:from>
    <xdr:to>
      <xdr:col>9</xdr:col>
      <xdr:colOff>455837</xdr:colOff>
      <xdr:row>28</xdr:row>
      <xdr:rowOff>136071</xdr:rowOff>
    </xdr:to>
    <xdr:graphicFrame macro="">
      <xdr:nvGraphicFramePr>
        <xdr:cNvPr id="16" name="Chart 15">
          <a:extLst>
            <a:ext uri="{FF2B5EF4-FFF2-40B4-BE49-F238E27FC236}">
              <a16:creationId xmlns:a16="http://schemas.microsoft.com/office/drawing/2014/main" id="{00000000-0008-0000-06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488895</xdr:colOff>
      <xdr:row>29</xdr:row>
      <xdr:rowOff>35378</xdr:rowOff>
    </xdr:from>
    <xdr:to>
      <xdr:col>9</xdr:col>
      <xdr:colOff>463826</xdr:colOff>
      <xdr:row>47</xdr:row>
      <xdr:rowOff>54429</xdr:rowOff>
    </xdr:to>
    <xdr:graphicFrame macro="">
      <xdr:nvGraphicFramePr>
        <xdr:cNvPr id="17" name="Chart 16">
          <a:extLst>
            <a:ext uri="{FF2B5EF4-FFF2-40B4-BE49-F238E27FC236}">
              <a16:creationId xmlns:a16="http://schemas.microsoft.com/office/drawing/2014/main" id="{00000000-0008-0000-06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68436</xdr:colOff>
      <xdr:row>10</xdr:row>
      <xdr:rowOff>13607</xdr:rowOff>
    </xdr:from>
    <xdr:to>
      <xdr:col>17</xdr:col>
      <xdr:colOff>297036</xdr:colOff>
      <xdr:row>28</xdr:row>
      <xdr:rowOff>136071</xdr:rowOff>
    </xdr:to>
    <xdr:graphicFrame macro="">
      <xdr:nvGraphicFramePr>
        <xdr:cNvPr id="18" name="Chart 17">
          <a:extLst>
            <a:ext uri="{FF2B5EF4-FFF2-40B4-BE49-F238E27FC236}">
              <a16:creationId xmlns:a16="http://schemas.microsoft.com/office/drawing/2014/main" id="{00000000-0008-0000-06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66261</xdr:colOff>
      <xdr:row>29</xdr:row>
      <xdr:rowOff>83682</xdr:rowOff>
    </xdr:from>
    <xdr:to>
      <xdr:col>17</xdr:col>
      <xdr:colOff>303159</xdr:colOff>
      <xdr:row>47</xdr:row>
      <xdr:rowOff>82826</xdr:rowOff>
    </xdr:to>
    <xdr:graphicFrame macro="">
      <xdr:nvGraphicFramePr>
        <xdr:cNvPr id="19" name="Chart 18">
          <a:extLst>
            <a:ext uri="{FF2B5EF4-FFF2-40B4-BE49-F238E27FC236}">
              <a16:creationId xmlns:a16="http://schemas.microsoft.com/office/drawing/2014/main" id="{00000000-0008-0000-06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455438</xdr:colOff>
      <xdr:row>29</xdr:row>
      <xdr:rowOff>87766</xdr:rowOff>
    </xdr:from>
    <xdr:to>
      <xdr:col>25</xdr:col>
      <xdr:colOff>88446</xdr:colOff>
      <xdr:row>47</xdr:row>
      <xdr:rowOff>95250</xdr:rowOff>
    </xdr:to>
    <xdr:graphicFrame macro="">
      <xdr:nvGraphicFramePr>
        <xdr:cNvPr id="20" name="Chart 19">
          <a:extLst>
            <a:ext uri="{FF2B5EF4-FFF2-40B4-BE49-F238E27FC236}">
              <a16:creationId xmlns:a16="http://schemas.microsoft.com/office/drawing/2014/main" id="{00000000-0008-0000-06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mothy" refreshedDate="46294.647961921299" createdVersion="5" refreshedVersion="5" minRefreshableVersion="3" recordCount="147" xr:uid="{00000000-000A-0000-FFFF-FFFF00000000}">
  <cacheSource type="worksheet">
    <worksheetSource name="Table_TechBridge_Task_8_Dataset_25"/>
  </cacheSource>
  <cacheFields count="13">
    <cacheField name="TransactionID" numFmtId="0">
      <sharedItems count="147">
        <s v="T0001"/>
        <s v="T0002"/>
        <s v="T0003"/>
        <s v="T0004"/>
        <s v="T0005"/>
        <s v="T0006"/>
        <s v="T0007"/>
        <s v="T0008"/>
        <s v="T0009"/>
        <s v="T0010"/>
        <s v="T0011"/>
        <s v="T0012"/>
        <s v="T0013"/>
        <s v="T0014"/>
        <s v="T0015"/>
        <s v="T0016"/>
        <s v="T0017"/>
        <s v="T0018"/>
        <s v="T0019"/>
        <s v="T0020"/>
        <s v="T0021"/>
        <s v="T0022"/>
        <s v="T0023"/>
        <s v="T0024"/>
        <s v="T0025"/>
        <s v="T0026"/>
        <s v="T0027"/>
        <s v="T0028"/>
        <s v="T0029"/>
        <s v="T0030"/>
        <s v="T0031"/>
        <s v="T0032"/>
        <s v="T0033"/>
        <s v="T0034"/>
        <s v="T0035"/>
        <s v="T0036"/>
        <s v="T0037"/>
        <s v="T0038"/>
        <s v="T0039"/>
        <s v="T0041"/>
        <s v="T0042"/>
        <s v="T0043"/>
        <s v="T0044"/>
        <s v="T0045"/>
        <s v="T0046"/>
        <s v="T0047"/>
        <s v="T0048"/>
        <s v="T0049"/>
        <s v="T0050"/>
        <s v="T0051"/>
        <s v="T0052"/>
        <s v="T0053"/>
        <s v="T0054"/>
        <s v="T0055"/>
        <s v="T0056"/>
        <s v="T0057"/>
        <s v="T0058"/>
        <s v="T0059"/>
        <s v="T0060"/>
        <s v="T0061"/>
        <s v="T0062"/>
        <s v="T0063"/>
        <s v="T0064"/>
        <s v="T0065"/>
        <s v="T0066"/>
        <s v="T0067"/>
        <s v="T0068"/>
        <s v="T0069"/>
        <s v="T0070"/>
        <s v="T0071"/>
        <s v="T0072"/>
        <s v="T0073"/>
        <s v="T0074"/>
        <s v="T0075"/>
        <s v="T0076"/>
        <s v="T0077"/>
        <s v="T0078"/>
        <s v="T0079"/>
        <s v="T0081"/>
        <s v="T0082"/>
        <s v="T0083"/>
        <s v="T0084"/>
        <s v="T0085"/>
        <s v="T0086"/>
        <s v="T0087"/>
        <s v="T0088"/>
        <s v="T0089"/>
        <s v="T0090"/>
        <s v="T0091"/>
        <s v="T0092"/>
        <s v="T0093"/>
        <s v="T0094"/>
        <s v="T0095"/>
        <s v="T0096"/>
        <s v="T0097"/>
        <s v="T0098"/>
        <s v="T0099"/>
        <s v="T0100"/>
        <s v="T0101"/>
        <s v="T0102"/>
        <s v="T0103"/>
        <s v="T0104"/>
        <s v="T0105"/>
        <s v="T0106"/>
        <s v="T0107"/>
        <s v="T0108"/>
        <s v="T0109"/>
        <s v="T0110"/>
        <s v="T0111"/>
        <s v="T0112"/>
        <s v="T0113"/>
        <s v="T0114"/>
        <s v="T0115"/>
        <s v="T0116"/>
        <s v="T0117"/>
        <s v="T0118"/>
        <s v="T0119"/>
        <s v="T0121"/>
        <s v="T0122"/>
        <s v="T0123"/>
        <s v="T0124"/>
        <s v="T0125"/>
        <s v="T0126"/>
        <s v="T0127"/>
        <s v="T0128"/>
        <s v="T0129"/>
        <s v="T0130"/>
        <s v="T0131"/>
        <s v="T0132"/>
        <s v="T0133"/>
        <s v="T0134"/>
        <s v="T0135"/>
        <s v="T0136"/>
        <s v="T0137"/>
        <s v="T0138"/>
        <s v="T0139"/>
        <s v="T0140"/>
        <s v="T0141"/>
        <s v="T0142"/>
        <s v="T0143"/>
        <s v="T0144"/>
        <s v="T0145"/>
        <s v="T0146"/>
        <s v="T0147"/>
        <s v="T0148"/>
        <s v="T0149"/>
        <s v="T0150"/>
      </sharedItems>
    </cacheField>
    <cacheField name="CustomerID" numFmtId="0">
      <sharedItems/>
    </cacheField>
    <cacheField name="CustomerName" numFmtId="0">
      <sharedItems count="20">
        <s v="Emeka Nwosu"/>
        <s v="Ruth Daniel"/>
        <s v="Daniel Okafor"/>
        <s v="Blessing Ojo"/>
        <s v="Peter Williams"/>
        <s v="Mariam Yusuf"/>
        <s v="Ibrahim Sani"/>
        <s v="Hauwa Ali"/>
        <s v="Chinedu Obi"/>
        <s v="Kelvin George"/>
        <s v="Grace Eze"/>
        <s v="David Umeh"/>
        <s v="Mercy John"/>
        <s v="Samuel Adeyemi"/>
        <s v="Joy Akpan"/>
        <s v="Tunde Adebayo"/>
        <s v="Fatima Musa"/>
        <s v="Michael Joseph"/>
        <s v="Aisha Bello"/>
        <s v="Esther James"/>
      </sharedItems>
    </cacheField>
    <cacheField name="City" numFmtId="0">
      <sharedItems count="13">
        <s v="Enugu"/>
        <s v="Lagos"/>
        <s v="Abuja"/>
        <s v="Abeokuta"/>
        <s v="Kano"/>
        <s v="Port Harcourt"/>
        <s v="Benin City"/>
        <s v="Asaba"/>
        <s v="Ibadan"/>
        <s v="Uyo"/>
        <s v="Kaduna"/>
        <s v="Calabar"/>
        <s v="Warri"/>
      </sharedItems>
    </cacheField>
    <cacheField name="CustomerType" numFmtId="0">
      <sharedItems count="3">
        <s v="Corporate"/>
        <s v="Wholesale"/>
        <s v="Retail"/>
      </sharedItems>
    </cacheField>
    <cacheField name="ProductID" numFmtId="0">
      <sharedItems/>
    </cacheField>
    <cacheField name="ProductName" numFmtId="0">
      <sharedItems count="10">
        <s v="Mouse"/>
        <s v="Desk"/>
        <s v="External Drive"/>
        <s v="Keyboard"/>
        <s v="Office Chair"/>
        <s v="Tablet"/>
        <s v="Monitor"/>
        <s v="Printer"/>
        <s v="Headset"/>
        <s v="Laptop"/>
      </sharedItems>
    </cacheField>
    <cacheField name="Category" numFmtId="0">
      <sharedItems count="4">
        <s v="Accessories"/>
        <s v="Furniture"/>
        <s v="Electronics"/>
        <s v="Office Equipment"/>
      </sharedItems>
    </cacheField>
    <cacheField name="Quantity" numFmtId="1">
      <sharedItems containsSemiMixedTypes="0" containsString="0" containsNumber="1" containsInteger="1" minValue="1" maxValue="5"/>
    </cacheField>
    <cacheField name="UnitPrice" numFmtId="3">
      <sharedItems containsSemiMixedTypes="0" containsString="0" containsNumber="1" containsInteger="1" minValue="8000" maxValue="450000"/>
    </cacheField>
    <cacheField name="Discount" numFmtId="3">
      <sharedItems/>
    </cacheField>
    <cacheField name="TransactionDate" numFmtId="14">
      <sharedItems containsSemiMixedTypes="0" containsNonDate="0" containsDate="1" containsString="0" minDate="2026-01-01T00:00:00" maxDate="2026-06-28T00:00:00" count="54">
        <d v="2026-02-02T00:00:00"/>
        <d v="2026-03-03T00:00:00"/>
        <d v="2026-04-04T00:00:00"/>
        <d v="2026-05-05T00:00:00"/>
        <d v="2026-06-06T00:00:00"/>
        <d v="2026-01-07T00:00:00"/>
        <d v="2026-02-08T00:00:00"/>
        <d v="2026-03-09T00:00:00"/>
        <d v="2026-04-10T00:00:00"/>
        <d v="2026-05-11T00:00:00"/>
        <d v="2026-06-12T00:00:00"/>
        <d v="2026-01-13T00:00:00"/>
        <d v="2026-02-14T00:00:00"/>
        <d v="2026-03-15T00:00:00"/>
        <d v="2026-04-16T00:00:00"/>
        <d v="2026-05-17T00:00:00"/>
        <d v="2026-06-18T00:00:00"/>
        <d v="2026-01-19T00:00:00"/>
        <d v="2026-02-20T00:00:00"/>
        <d v="2026-03-21T00:00:00"/>
        <d v="2026-04-22T00:00:00"/>
        <d v="2026-05-23T00:00:00"/>
        <d v="2026-06-24T00:00:00"/>
        <d v="2026-01-25T00:00:00"/>
        <d v="2026-02-26T00:00:00"/>
        <d v="2026-03-27T00:00:00"/>
        <d v="2026-04-01T00:00:00"/>
        <d v="2026-05-02T00:00:00"/>
        <d v="2026-06-03T00:00:00"/>
        <d v="2026-01-04T00:00:00"/>
        <d v="2026-02-05T00:00:00"/>
        <d v="2026-03-06T00:00:00"/>
        <d v="2026-04-07T00:00:00"/>
        <d v="2026-05-08T00:00:00"/>
        <d v="2026-06-09T00:00:00"/>
        <d v="2026-01-10T00:00:00"/>
        <d v="2026-02-11T00:00:00"/>
        <d v="2026-03-12T00:00:00"/>
        <d v="2026-04-13T00:00:00"/>
        <d v="2026-06-15T00:00:00"/>
        <d v="2026-01-16T00:00:00"/>
        <d v="2026-02-17T00:00:00"/>
        <d v="2026-03-18T00:00:00"/>
        <d v="2026-04-19T00:00:00"/>
        <d v="2026-05-20T00:00:00"/>
        <d v="2026-06-21T00:00:00"/>
        <d v="2026-01-22T00:00:00"/>
        <d v="2026-02-23T00:00:00"/>
        <d v="2026-03-24T00:00:00"/>
        <d v="2026-04-25T00:00:00"/>
        <d v="2026-05-26T00:00:00"/>
        <d v="2026-06-27T00:00:00"/>
        <d v="2026-01-01T00:00:00"/>
        <d v="2026-05-14T00:00:00"/>
      </sharedItems>
      <fieldGroup base="11">
        <rangePr groupBy="months" startDate="2026-01-01T00:00:00" endDate="2026-06-28T00:00:00"/>
        <groupItems count="14">
          <s v="&lt;01/01/2026"/>
          <s v="Jan"/>
          <s v="Feb"/>
          <s v="Mar"/>
          <s v="Apr"/>
          <s v="May"/>
          <s v="Jun"/>
          <s v="Jul"/>
          <s v="Aug"/>
          <s v="Sep"/>
          <s v="Oct"/>
          <s v="Nov"/>
          <s v="Dec"/>
          <s v="&gt;28/06/2026"/>
        </groupItems>
      </fieldGroup>
    </cacheField>
    <cacheField name="SalesAmount" numFmtId="3">
      <sharedItems containsSemiMixedTypes="0" containsString="0" containsNumber="1" containsInteger="1" minValue="14400" maxValue="54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
  <r>
    <x v="0"/>
    <s v="C008"/>
    <x v="0"/>
    <x v="0"/>
    <x v="0"/>
    <s v="P004"/>
    <x v="0"/>
    <x v="0"/>
    <n v="2"/>
    <n v="8000"/>
    <s v="0"/>
    <x v="0"/>
    <n v="16000"/>
  </r>
  <r>
    <x v="1"/>
    <s v="C015"/>
    <x v="1"/>
    <x v="1"/>
    <x v="0"/>
    <s v="P007"/>
    <x v="1"/>
    <x v="1"/>
    <n v="3"/>
    <n v="140000"/>
    <s v="0"/>
    <x v="1"/>
    <n v="420000"/>
  </r>
  <r>
    <x v="2"/>
    <s v="C002"/>
    <x v="2"/>
    <x v="2"/>
    <x v="0"/>
    <s v="P010"/>
    <x v="2"/>
    <x v="2"/>
    <n v="4"/>
    <n v="75000"/>
    <s v="0"/>
    <x v="2"/>
    <n v="300000"/>
  </r>
  <r>
    <x v="3"/>
    <s v="C009"/>
    <x v="3"/>
    <x v="1"/>
    <x v="1"/>
    <s v="P003"/>
    <x v="3"/>
    <x v="0"/>
    <n v="5"/>
    <n v="15000"/>
    <s v="0"/>
    <x v="3"/>
    <n v="75000"/>
  </r>
  <r>
    <x v="4"/>
    <s v="C016"/>
    <x v="4"/>
    <x v="3"/>
    <x v="2"/>
    <s v="P006"/>
    <x v="4"/>
    <x v="1"/>
    <n v="1"/>
    <n v="95000"/>
    <s v="0"/>
    <x v="4"/>
    <n v="95000"/>
  </r>
  <r>
    <x v="5"/>
    <s v="C003"/>
    <x v="5"/>
    <x v="4"/>
    <x v="2"/>
    <s v="P009"/>
    <x v="5"/>
    <x v="2"/>
    <n v="2"/>
    <n v="220000"/>
    <s v="0"/>
    <x v="5"/>
    <n v="440000"/>
  </r>
  <r>
    <x v="6"/>
    <s v="C010"/>
    <x v="6"/>
    <x v="2"/>
    <x v="2"/>
    <s v="P002"/>
    <x v="6"/>
    <x v="2"/>
    <n v="3"/>
    <n v="180000"/>
    <s v="0.05"/>
    <x v="6"/>
    <n v="513000"/>
  </r>
  <r>
    <x v="7"/>
    <s v="C017"/>
    <x v="7"/>
    <x v="4"/>
    <x v="0"/>
    <s v="P005"/>
    <x v="7"/>
    <x v="3"/>
    <n v="4"/>
    <n v="120000"/>
    <s v="0"/>
    <x v="7"/>
    <n v="480000"/>
  </r>
  <r>
    <x v="8"/>
    <s v="C004"/>
    <x v="8"/>
    <x v="5"/>
    <x v="0"/>
    <s v="P008"/>
    <x v="8"/>
    <x v="0"/>
    <n v="5"/>
    <n v="25000"/>
    <s v="0"/>
    <x v="8"/>
    <n v="125000"/>
  </r>
  <r>
    <x v="9"/>
    <s v="C010"/>
    <x v="6"/>
    <x v="2"/>
    <x v="2"/>
    <s v="P001"/>
    <x v="9"/>
    <x v="2"/>
    <n v="1"/>
    <n v="450000"/>
    <s v="0"/>
    <x v="9"/>
    <n v="450000"/>
  </r>
  <r>
    <x v="10"/>
    <s v="C018"/>
    <x v="9"/>
    <x v="5"/>
    <x v="2"/>
    <s v="P004"/>
    <x v="0"/>
    <x v="0"/>
    <n v="2"/>
    <n v="8000"/>
    <s v="0.1"/>
    <x v="10"/>
    <n v="14400"/>
  </r>
  <r>
    <x v="11"/>
    <s v="C005"/>
    <x v="10"/>
    <x v="6"/>
    <x v="2"/>
    <s v="P007"/>
    <x v="1"/>
    <x v="1"/>
    <n v="3"/>
    <n v="140000"/>
    <s v="0"/>
    <x v="11"/>
    <n v="420000"/>
  </r>
  <r>
    <x v="12"/>
    <s v="C012"/>
    <x v="11"/>
    <x v="7"/>
    <x v="0"/>
    <s v="P010"/>
    <x v="2"/>
    <x v="2"/>
    <n v="4"/>
    <n v="75000"/>
    <s v="0"/>
    <x v="12"/>
    <n v="300000"/>
  </r>
  <r>
    <x v="13"/>
    <s v="C019"/>
    <x v="12"/>
    <x v="6"/>
    <x v="1"/>
    <s v="P003"/>
    <x v="3"/>
    <x v="0"/>
    <n v="5"/>
    <n v="15000"/>
    <s v="0.05"/>
    <x v="13"/>
    <n v="71250"/>
  </r>
  <r>
    <x v="14"/>
    <s v="C006"/>
    <x v="13"/>
    <x v="8"/>
    <x v="1"/>
    <s v="P006"/>
    <x v="4"/>
    <x v="1"/>
    <n v="1"/>
    <n v="95000"/>
    <s v="0"/>
    <x v="14"/>
    <n v="95000"/>
  </r>
  <r>
    <x v="15"/>
    <s v="C013"/>
    <x v="14"/>
    <x v="9"/>
    <x v="2"/>
    <s v="P009"/>
    <x v="5"/>
    <x v="2"/>
    <n v="2"/>
    <n v="220000"/>
    <s v="0"/>
    <x v="15"/>
    <n v="440000"/>
  </r>
  <r>
    <x v="16"/>
    <s v="C020"/>
    <x v="15"/>
    <x v="8"/>
    <x v="0"/>
    <s v="P002"/>
    <x v="6"/>
    <x v="2"/>
    <n v="3"/>
    <n v="180000"/>
    <s v="0"/>
    <x v="16"/>
    <n v="540000"/>
  </r>
  <r>
    <x v="17"/>
    <s v="C007"/>
    <x v="16"/>
    <x v="10"/>
    <x v="2"/>
    <s v="P005"/>
    <x v="7"/>
    <x v="3"/>
    <n v="4"/>
    <n v="120000"/>
    <s v="0"/>
    <x v="17"/>
    <n v="480000"/>
  </r>
  <r>
    <x v="18"/>
    <s v="C014"/>
    <x v="17"/>
    <x v="11"/>
    <x v="1"/>
    <s v="P008"/>
    <x v="8"/>
    <x v="0"/>
    <n v="5"/>
    <n v="25000"/>
    <s v="0"/>
    <x v="18"/>
    <n v="125000"/>
  </r>
  <r>
    <x v="19"/>
    <s v="C001"/>
    <x v="18"/>
    <x v="1"/>
    <x v="2"/>
    <s v="P001"/>
    <x v="9"/>
    <x v="2"/>
    <n v="1"/>
    <n v="450000"/>
    <s v="0"/>
    <x v="19"/>
    <n v="450000"/>
  </r>
  <r>
    <x v="20"/>
    <s v="C008"/>
    <x v="0"/>
    <x v="0"/>
    <x v="0"/>
    <s v="P004"/>
    <x v="0"/>
    <x v="0"/>
    <n v="2"/>
    <n v="8000"/>
    <s v="0.05"/>
    <x v="20"/>
    <n v="15200"/>
  </r>
  <r>
    <x v="21"/>
    <s v="C015"/>
    <x v="1"/>
    <x v="1"/>
    <x v="0"/>
    <s v="P007"/>
    <x v="1"/>
    <x v="1"/>
    <n v="3"/>
    <n v="140000"/>
    <s v="0.1"/>
    <x v="21"/>
    <n v="378000"/>
  </r>
  <r>
    <x v="22"/>
    <s v="C002"/>
    <x v="2"/>
    <x v="2"/>
    <x v="0"/>
    <s v="P010"/>
    <x v="2"/>
    <x v="2"/>
    <n v="4"/>
    <n v="75000"/>
    <s v="0"/>
    <x v="22"/>
    <n v="300000"/>
  </r>
  <r>
    <x v="23"/>
    <s v="C009"/>
    <x v="3"/>
    <x v="1"/>
    <x v="1"/>
    <s v="P003"/>
    <x v="3"/>
    <x v="0"/>
    <n v="5"/>
    <n v="15000"/>
    <s v="0"/>
    <x v="23"/>
    <n v="75000"/>
  </r>
  <r>
    <x v="24"/>
    <s v="C016"/>
    <x v="4"/>
    <x v="3"/>
    <x v="2"/>
    <s v="P006"/>
    <x v="4"/>
    <x v="1"/>
    <n v="1"/>
    <n v="95000"/>
    <s v="0"/>
    <x v="24"/>
    <n v="95000"/>
  </r>
  <r>
    <x v="25"/>
    <s v="C003"/>
    <x v="5"/>
    <x v="4"/>
    <x v="2"/>
    <s v="P009"/>
    <x v="5"/>
    <x v="2"/>
    <n v="2"/>
    <n v="220000"/>
    <s v="0"/>
    <x v="25"/>
    <n v="440000"/>
  </r>
  <r>
    <x v="26"/>
    <s v="C010"/>
    <x v="6"/>
    <x v="2"/>
    <x v="2"/>
    <s v="P002"/>
    <x v="6"/>
    <x v="2"/>
    <n v="3"/>
    <n v="180000"/>
    <s v="0"/>
    <x v="26"/>
    <n v="540000"/>
  </r>
  <r>
    <x v="27"/>
    <s v="C017"/>
    <x v="7"/>
    <x v="4"/>
    <x v="0"/>
    <s v="P005"/>
    <x v="7"/>
    <x v="3"/>
    <n v="4"/>
    <n v="120000"/>
    <s v="0.05"/>
    <x v="27"/>
    <n v="456000"/>
  </r>
  <r>
    <x v="28"/>
    <s v="C004"/>
    <x v="8"/>
    <x v="5"/>
    <x v="0"/>
    <s v="P008"/>
    <x v="8"/>
    <x v="0"/>
    <n v="5"/>
    <n v="25000"/>
    <s v="0"/>
    <x v="28"/>
    <n v="125000"/>
  </r>
  <r>
    <x v="29"/>
    <s v="C011"/>
    <x v="19"/>
    <x v="12"/>
    <x v="2"/>
    <s v="P001"/>
    <x v="9"/>
    <x v="2"/>
    <n v="1"/>
    <n v="450000"/>
    <s v="0"/>
    <x v="29"/>
    <n v="450000"/>
  </r>
  <r>
    <x v="30"/>
    <s v="C018"/>
    <x v="9"/>
    <x v="5"/>
    <x v="2"/>
    <s v="P004"/>
    <x v="0"/>
    <x v="0"/>
    <n v="2"/>
    <n v="8000"/>
    <s v="0"/>
    <x v="30"/>
    <n v="16000"/>
  </r>
  <r>
    <x v="31"/>
    <s v="C005"/>
    <x v="10"/>
    <x v="6"/>
    <x v="2"/>
    <s v="P007"/>
    <x v="1"/>
    <x v="1"/>
    <n v="3"/>
    <n v="140000"/>
    <s v="0"/>
    <x v="31"/>
    <n v="420000"/>
  </r>
  <r>
    <x v="32"/>
    <s v="C012"/>
    <x v="11"/>
    <x v="7"/>
    <x v="0"/>
    <s v="P010"/>
    <x v="2"/>
    <x v="2"/>
    <n v="4"/>
    <n v="75000"/>
    <s v="0.1"/>
    <x v="32"/>
    <n v="270000"/>
  </r>
  <r>
    <x v="33"/>
    <s v="C019"/>
    <x v="12"/>
    <x v="6"/>
    <x v="1"/>
    <s v="P003"/>
    <x v="3"/>
    <x v="0"/>
    <n v="5"/>
    <n v="15000"/>
    <s v="0"/>
    <x v="33"/>
    <n v="75000"/>
  </r>
  <r>
    <x v="34"/>
    <s v="C006"/>
    <x v="13"/>
    <x v="8"/>
    <x v="1"/>
    <s v="P006"/>
    <x v="4"/>
    <x v="1"/>
    <n v="1"/>
    <n v="95000"/>
    <s v="0.05"/>
    <x v="34"/>
    <n v="90250"/>
  </r>
  <r>
    <x v="35"/>
    <s v="C013"/>
    <x v="14"/>
    <x v="9"/>
    <x v="2"/>
    <s v="P009"/>
    <x v="5"/>
    <x v="2"/>
    <n v="2"/>
    <n v="220000"/>
    <s v="0"/>
    <x v="35"/>
    <n v="440000"/>
  </r>
  <r>
    <x v="36"/>
    <s v="C020"/>
    <x v="15"/>
    <x v="8"/>
    <x v="0"/>
    <s v="P002"/>
    <x v="6"/>
    <x v="2"/>
    <n v="3"/>
    <n v="180000"/>
    <s v="0"/>
    <x v="36"/>
    <n v="540000"/>
  </r>
  <r>
    <x v="37"/>
    <s v="C007"/>
    <x v="16"/>
    <x v="10"/>
    <x v="2"/>
    <s v="P005"/>
    <x v="7"/>
    <x v="3"/>
    <n v="4"/>
    <n v="120000"/>
    <s v="0"/>
    <x v="37"/>
    <n v="480000"/>
  </r>
  <r>
    <x v="38"/>
    <s v="C014"/>
    <x v="17"/>
    <x v="11"/>
    <x v="1"/>
    <s v="P008"/>
    <x v="8"/>
    <x v="0"/>
    <n v="5"/>
    <n v="25000"/>
    <s v="0"/>
    <x v="38"/>
    <n v="125000"/>
  </r>
  <r>
    <x v="39"/>
    <s v="C008"/>
    <x v="0"/>
    <x v="0"/>
    <x v="0"/>
    <s v="P004"/>
    <x v="0"/>
    <x v="0"/>
    <n v="2"/>
    <n v="8000"/>
    <s v="0"/>
    <x v="39"/>
    <n v="16000"/>
  </r>
  <r>
    <x v="40"/>
    <s v="C015"/>
    <x v="1"/>
    <x v="1"/>
    <x v="0"/>
    <s v="P007"/>
    <x v="1"/>
    <x v="1"/>
    <n v="3"/>
    <n v="140000"/>
    <s v="0.05"/>
    <x v="40"/>
    <n v="399000"/>
  </r>
  <r>
    <x v="41"/>
    <s v="C002"/>
    <x v="2"/>
    <x v="2"/>
    <x v="0"/>
    <s v="P010"/>
    <x v="2"/>
    <x v="2"/>
    <n v="4"/>
    <n v="75000"/>
    <s v="0"/>
    <x v="41"/>
    <n v="300000"/>
  </r>
  <r>
    <x v="42"/>
    <s v="C009"/>
    <x v="3"/>
    <x v="1"/>
    <x v="1"/>
    <s v="P003"/>
    <x v="3"/>
    <x v="0"/>
    <n v="5"/>
    <n v="15000"/>
    <s v="0.1"/>
    <x v="42"/>
    <n v="67500"/>
  </r>
  <r>
    <x v="43"/>
    <s v="C016"/>
    <x v="4"/>
    <x v="3"/>
    <x v="2"/>
    <s v="P006"/>
    <x v="4"/>
    <x v="1"/>
    <n v="1"/>
    <n v="95000"/>
    <s v="0"/>
    <x v="43"/>
    <n v="95000"/>
  </r>
  <r>
    <x v="44"/>
    <s v="C003"/>
    <x v="5"/>
    <x v="4"/>
    <x v="2"/>
    <s v="P009"/>
    <x v="5"/>
    <x v="2"/>
    <n v="2"/>
    <n v="220000"/>
    <s v="0"/>
    <x v="44"/>
    <n v="440000"/>
  </r>
  <r>
    <x v="45"/>
    <s v="C010"/>
    <x v="6"/>
    <x v="2"/>
    <x v="2"/>
    <s v="P002"/>
    <x v="6"/>
    <x v="2"/>
    <n v="3"/>
    <n v="180000"/>
    <s v="0"/>
    <x v="45"/>
    <n v="540000"/>
  </r>
  <r>
    <x v="46"/>
    <s v="C017"/>
    <x v="7"/>
    <x v="4"/>
    <x v="0"/>
    <s v="P005"/>
    <x v="7"/>
    <x v="3"/>
    <n v="4"/>
    <n v="120000"/>
    <s v="0"/>
    <x v="46"/>
    <n v="480000"/>
  </r>
  <r>
    <x v="47"/>
    <s v="C004"/>
    <x v="8"/>
    <x v="5"/>
    <x v="0"/>
    <s v="P008"/>
    <x v="8"/>
    <x v="0"/>
    <n v="5"/>
    <n v="25000"/>
    <s v="0.05"/>
    <x v="47"/>
    <n v="118750"/>
  </r>
  <r>
    <x v="48"/>
    <s v="C011"/>
    <x v="19"/>
    <x v="12"/>
    <x v="2"/>
    <s v="P001"/>
    <x v="9"/>
    <x v="2"/>
    <n v="1"/>
    <n v="450000"/>
    <s v="0"/>
    <x v="48"/>
    <n v="450000"/>
  </r>
  <r>
    <x v="49"/>
    <s v="C018"/>
    <x v="9"/>
    <x v="5"/>
    <x v="2"/>
    <s v="P004"/>
    <x v="0"/>
    <x v="0"/>
    <n v="2"/>
    <n v="8000"/>
    <s v="0"/>
    <x v="49"/>
    <n v="16000"/>
  </r>
  <r>
    <x v="50"/>
    <s v="C005"/>
    <x v="10"/>
    <x v="6"/>
    <x v="2"/>
    <s v="P007"/>
    <x v="1"/>
    <x v="1"/>
    <n v="3"/>
    <n v="140000"/>
    <s v="0"/>
    <x v="50"/>
    <n v="420000"/>
  </r>
  <r>
    <x v="51"/>
    <s v="C012"/>
    <x v="11"/>
    <x v="7"/>
    <x v="0"/>
    <s v="P010"/>
    <x v="2"/>
    <x v="2"/>
    <n v="4"/>
    <n v="75000"/>
    <s v="0"/>
    <x v="51"/>
    <n v="300000"/>
  </r>
  <r>
    <x v="52"/>
    <s v="C019"/>
    <x v="12"/>
    <x v="6"/>
    <x v="1"/>
    <s v="P003"/>
    <x v="3"/>
    <x v="0"/>
    <n v="5"/>
    <n v="15000"/>
    <s v="0"/>
    <x v="52"/>
    <n v="75000"/>
  </r>
  <r>
    <x v="53"/>
    <s v="C006"/>
    <x v="13"/>
    <x v="8"/>
    <x v="1"/>
    <s v="P006"/>
    <x v="4"/>
    <x v="1"/>
    <n v="1"/>
    <n v="95000"/>
    <s v="0.1"/>
    <x v="0"/>
    <n v="85500"/>
  </r>
  <r>
    <x v="54"/>
    <s v="C013"/>
    <x v="14"/>
    <x v="9"/>
    <x v="2"/>
    <s v="P009"/>
    <x v="5"/>
    <x v="2"/>
    <n v="2"/>
    <n v="220000"/>
    <s v="0.05"/>
    <x v="1"/>
    <n v="418000"/>
  </r>
  <r>
    <x v="55"/>
    <s v="C020"/>
    <x v="15"/>
    <x v="8"/>
    <x v="0"/>
    <s v="P002"/>
    <x v="6"/>
    <x v="2"/>
    <n v="3"/>
    <n v="180000"/>
    <s v="0"/>
    <x v="2"/>
    <n v="540000"/>
  </r>
  <r>
    <x v="56"/>
    <s v="C007"/>
    <x v="16"/>
    <x v="10"/>
    <x v="2"/>
    <s v="P005"/>
    <x v="7"/>
    <x v="3"/>
    <n v="4"/>
    <n v="120000"/>
    <s v="0"/>
    <x v="3"/>
    <n v="480000"/>
  </r>
  <r>
    <x v="57"/>
    <s v="C014"/>
    <x v="17"/>
    <x v="11"/>
    <x v="1"/>
    <s v="P008"/>
    <x v="8"/>
    <x v="0"/>
    <n v="5"/>
    <n v="25000"/>
    <s v="0"/>
    <x v="4"/>
    <n v="125000"/>
  </r>
  <r>
    <x v="58"/>
    <s v="C001"/>
    <x v="18"/>
    <x v="1"/>
    <x v="2"/>
    <s v="P001"/>
    <x v="9"/>
    <x v="2"/>
    <n v="1"/>
    <n v="450000"/>
    <s v="0"/>
    <x v="5"/>
    <n v="450000"/>
  </r>
  <r>
    <x v="59"/>
    <s v="C008"/>
    <x v="0"/>
    <x v="0"/>
    <x v="0"/>
    <s v="P004"/>
    <x v="0"/>
    <x v="0"/>
    <n v="2"/>
    <n v="8000"/>
    <s v="0"/>
    <x v="6"/>
    <n v="16000"/>
  </r>
  <r>
    <x v="60"/>
    <s v="C015"/>
    <x v="1"/>
    <x v="1"/>
    <x v="0"/>
    <s v="P007"/>
    <x v="1"/>
    <x v="1"/>
    <n v="3"/>
    <n v="140000"/>
    <s v="0"/>
    <x v="7"/>
    <n v="420000"/>
  </r>
  <r>
    <x v="61"/>
    <s v="C002"/>
    <x v="2"/>
    <x v="2"/>
    <x v="0"/>
    <s v="P010"/>
    <x v="2"/>
    <x v="2"/>
    <n v="4"/>
    <n v="75000"/>
    <s v="0.05"/>
    <x v="8"/>
    <n v="285000"/>
  </r>
  <r>
    <x v="62"/>
    <s v="C009"/>
    <x v="3"/>
    <x v="1"/>
    <x v="1"/>
    <s v="P003"/>
    <x v="3"/>
    <x v="0"/>
    <n v="5"/>
    <n v="15000"/>
    <s v="0"/>
    <x v="9"/>
    <n v="75000"/>
  </r>
  <r>
    <x v="63"/>
    <s v="C016"/>
    <x v="4"/>
    <x v="3"/>
    <x v="2"/>
    <s v="P006"/>
    <x v="4"/>
    <x v="1"/>
    <n v="1"/>
    <n v="95000"/>
    <s v="0"/>
    <x v="10"/>
    <n v="95000"/>
  </r>
  <r>
    <x v="64"/>
    <s v="C003"/>
    <x v="5"/>
    <x v="4"/>
    <x v="2"/>
    <s v="P009"/>
    <x v="5"/>
    <x v="2"/>
    <n v="2"/>
    <n v="220000"/>
    <s v="0.1"/>
    <x v="11"/>
    <n v="396000"/>
  </r>
  <r>
    <x v="65"/>
    <s v="C010"/>
    <x v="6"/>
    <x v="2"/>
    <x v="2"/>
    <s v="P002"/>
    <x v="6"/>
    <x v="2"/>
    <n v="3"/>
    <n v="180000"/>
    <s v="0"/>
    <x v="12"/>
    <n v="540000"/>
  </r>
  <r>
    <x v="66"/>
    <s v="C017"/>
    <x v="7"/>
    <x v="4"/>
    <x v="0"/>
    <s v="P005"/>
    <x v="7"/>
    <x v="3"/>
    <n v="4"/>
    <n v="120000"/>
    <s v="0"/>
    <x v="13"/>
    <n v="480000"/>
  </r>
  <r>
    <x v="67"/>
    <s v="C004"/>
    <x v="8"/>
    <x v="5"/>
    <x v="0"/>
    <s v="P008"/>
    <x v="8"/>
    <x v="0"/>
    <n v="5"/>
    <n v="25000"/>
    <s v="0"/>
    <x v="14"/>
    <n v="125000"/>
  </r>
  <r>
    <x v="68"/>
    <s v="C011"/>
    <x v="19"/>
    <x v="12"/>
    <x v="2"/>
    <s v="P001"/>
    <x v="9"/>
    <x v="2"/>
    <n v="1"/>
    <n v="450000"/>
    <s v="0.05"/>
    <x v="15"/>
    <n v="427500"/>
  </r>
  <r>
    <x v="69"/>
    <s v="C018"/>
    <x v="9"/>
    <x v="5"/>
    <x v="2"/>
    <s v="P004"/>
    <x v="0"/>
    <x v="0"/>
    <n v="2"/>
    <n v="8000"/>
    <s v="0"/>
    <x v="16"/>
    <n v="16000"/>
  </r>
  <r>
    <x v="70"/>
    <s v="C005"/>
    <x v="10"/>
    <x v="6"/>
    <x v="2"/>
    <s v="P007"/>
    <x v="1"/>
    <x v="1"/>
    <n v="3"/>
    <n v="140000"/>
    <s v="0"/>
    <x v="17"/>
    <n v="420000"/>
  </r>
  <r>
    <x v="71"/>
    <s v="C012"/>
    <x v="11"/>
    <x v="7"/>
    <x v="0"/>
    <s v="P010"/>
    <x v="2"/>
    <x v="2"/>
    <n v="4"/>
    <n v="75000"/>
    <s v="0"/>
    <x v="18"/>
    <n v="300000"/>
  </r>
  <r>
    <x v="72"/>
    <s v="C019"/>
    <x v="12"/>
    <x v="6"/>
    <x v="1"/>
    <s v="P003"/>
    <x v="3"/>
    <x v="0"/>
    <n v="5"/>
    <n v="15000"/>
    <s v="0"/>
    <x v="19"/>
    <n v="75000"/>
  </r>
  <r>
    <x v="73"/>
    <s v="C006"/>
    <x v="13"/>
    <x v="8"/>
    <x v="1"/>
    <s v="P006"/>
    <x v="4"/>
    <x v="1"/>
    <n v="1"/>
    <n v="95000"/>
    <s v="0"/>
    <x v="20"/>
    <n v="95000"/>
  </r>
  <r>
    <x v="74"/>
    <s v="C013"/>
    <x v="14"/>
    <x v="9"/>
    <x v="2"/>
    <s v="P009"/>
    <x v="5"/>
    <x v="2"/>
    <n v="2"/>
    <n v="220000"/>
    <s v="0"/>
    <x v="21"/>
    <n v="440000"/>
  </r>
  <r>
    <x v="75"/>
    <s v="C020"/>
    <x v="15"/>
    <x v="8"/>
    <x v="0"/>
    <s v="P002"/>
    <x v="6"/>
    <x v="2"/>
    <n v="3"/>
    <n v="180000"/>
    <s v="0.1"/>
    <x v="22"/>
    <n v="486000"/>
  </r>
  <r>
    <x v="76"/>
    <s v="C007"/>
    <x v="16"/>
    <x v="10"/>
    <x v="2"/>
    <s v="P005"/>
    <x v="7"/>
    <x v="3"/>
    <n v="4"/>
    <n v="120000"/>
    <s v="0"/>
    <x v="23"/>
    <n v="480000"/>
  </r>
  <r>
    <x v="77"/>
    <s v="C014"/>
    <x v="17"/>
    <x v="11"/>
    <x v="1"/>
    <s v="P008"/>
    <x v="8"/>
    <x v="0"/>
    <n v="5"/>
    <n v="25000"/>
    <s v="0"/>
    <x v="24"/>
    <n v="125000"/>
  </r>
  <r>
    <x v="78"/>
    <s v="C008"/>
    <x v="0"/>
    <x v="0"/>
    <x v="0"/>
    <s v="P004"/>
    <x v="0"/>
    <x v="0"/>
    <n v="2"/>
    <n v="8000"/>
    <s v="0"/>
    <x v="26"/>
    <n v="16000"/>
  </r>
  <r>
    <x v="79"/>
    <s v="C015"/>
    <x v="1"/>
    <x v="1"/>
    <x v="0"/>
    <s v="P007"/>
    <x v="1"/>
    <x v="1"/>
    <n v="3"/>
    <n v="140000"/>
    <s v="0"/>
    <x v="27"/>
    <n v="420000"/>
  </r>
  <r>
    <x v="80"/>
    <s v="C002"/>
    <x v="2"/>
    <x v="2"/>
    <x v="0"/>
    <s v="P010"/>
    <x v="2"/>
    <x v="2"/>
    <n v="4"/>
    <n v="75000"/>
    <s v="0"/>
    <x v="28"/>
    <n v="300000"/>
  </r>
  <r>
    <x v="81"/>
    <s v="C009"/>
    <x v="3"/>
    <x v="1"/>
    <x v="1"/>
    <s v="P003"/>
    <x v="3"/>
    <x v="0"/>
    <n v="5"/>
    <n v="15000"/>
    <s v="0.05"/>
    <x v="29"/>
    <n v="71250"/>
  </r>
  <r>
    <x v="82"/>
    <s v="C016"/>
    <x v="4"/>
    <x v="3"/>
    <x v="2"/>
    <s v="P006"/>
    <x v="4"/>
    <x v="1"/>
    <n v="1"/>
    <n v="95000"/>
    <s v="0"/>
    <x v="30"/>
    <n v="95000"/>
  </r>
  <r>
    <x v="83"/>
    <s v="C003"/>
    <x v="5"/>
    <x v="4"/>
    <x v="2"/>
    <s v="P009"/>
    <x v="5"/>
    <x v="2"/>
    <n v="2"/>
    <n v="220000"/>
    <s v="0"/>
    <x v="31"/>
    <n v="440000"/>
  </r>
  <r>
    <x v="84"/>
    <s v="C010"/>
    <x v="6"/>
    <x v="2"/>
    <x v="2"/>
    <s v="P002"/>
    <x v="6"/>
    <x v="2"/>
    <n v="3"/>
    <n v="180000"/>
    <s v="0"/>
    <x v="32"/>
    <n v="540000"/>
  </r>
  <r>
    <x v="85"/>
    <s v="C017"/>
    <x v="7"/>
    <x v="4"/>
    <x v="0"/>
    <s v="P005"/>
    <x v="7"/>
    <x v="3"/>
    <n v="4"/>
    <n v="120000"/>
    <s v="0.1"/>
    <x v="33"/>
    <n v="432000"/>
  </r>
  <r>
    <x v="86"/>
    <s v="C004"/>
    <x v="8"/>
    <x v="5"/>
    <x v="0"/>
    <s v="P008"/>
    <x v="8"/>
    <x v="0"/>
    <n v="5"/>
    <n v="25000"/>
    <s v="0"/>
    <x v="34"/>
    <n v="125000"/>
  </r>
  <r>
    <x v="87"/>
    <s v="C011"/>
    <x v="19"/>
    <x v="12"/>
    <x v="2"/>
    <s v="P001"/>
    <x v="9"/>
    <x v="2"/>
    <n v="1"/>
    <n v="450000"/>
    <s v="0"/>
    <x v="35"/>
    <n v="450000"/>
  </r>
  <r>
    <x v="88"/>
    <s v="C018"/>
    <x v="9"/>
    <x v="5"/>
    <x v="2"/>
    <s v="P004"/>
    <x v="0"/>
    <x v="0"/>
    <n v="2"/>
    <n v="8000"/>
    <s v="0.05"/>
    <x v="36"/>
    <n v="15200"/>
  </r>
  <r>
    <x v="89"/>
    <s v="C005"/>
    <x v="10"/>
    <x v="6"/>
    <x v="2"/>
    <s v="P007"/>
    <x v="1"/>
    <x v="1"/>
    <n v="3"/>
    <n v="140000"/>
    <s v="0"/>
    <x v="37"/>
    <n v="420000"/>
  </r>
  <r>
    <x v="90"/>
    <s v="C012"/>
    <x v="11"/>
    <x v="7"/>
    <x v="0"/>
    <s v="P010"/>
    <x v="2"/>
    <x v="2"/>
    <n v="4"/>
    <n v="75000"/>
    <s v="0"/>
    <x v="38"/>
    <n v="300000"/>
  </r>
  <r>
    <x v="91"/>
    <s v="C019"/>
    <x v="12"/>
    <x v="6"/>
    <x v="1"/>
    <s v="P003"/>
    <x v="3"/>
    <x v="0"/>
    <n v="5"/>
    <n v="15000"/>
    <s v="0"/>
    <x v="53"/>
    <n v="75000"/>
  </r>
  <r>
    <x v="92"/>
    <s v="C006"/>
    <x v="13"/>
    <x v="8"/>
    <x v="1"/>
    <s v="P006"/>
    <x v="4"/>
    <x v="1"/>
    <n v="1"/>
    <n v="95000"/>
    <s v="0"/>
    <x v="39"/>
    <n v="95000"/>
  </r>
  <r>
    <x v="93"/>
    <s v="C013"/>
    <x v="14"/>
    <x v="9"/>
    <x v="2"/>
    <s v="P009"/>
    <x v="5"/>
    <x v="2"/>
    <n v="2"/>
    <n v="220000"/>
    <s v="0"/>
    <x v="40"/>
    <n v="440000"/>
  </r>
  <r>
    <x v="94"/>
    <s v="C020"/>
    <x v="15"/>
    <x v="8"/>
    <x v="0"/>
    <s v="P002"/>
    <x v="6"/>
    <x v="2"/>
    <n v="3"/>
    <n v="180000"/>
    <s v="0"/>
    <x v="41"/>
    <n v="540000"/>
  </r>
  <r>
    <x v="95"/>
    <s v="C007"/>
    <x v="16"/>
    <x v="10"/>
    <x v="2"/>
    <s v="P005"/>
    <x v="7"/>
    <x v="3"/>
    <n v="4"/>
    <n v="120000"/>
    <s v="0.05"/>
    <x v="42"/>
    <n v="456000"/>
  </r>
  <r>
    <x v="96"/>
    <s v="C014"/>
    <x v="17"/>
    <x v="11"/>
    <x v="1"/>
    <s v="P008"/>
    <x v="8"/>
    <x v="0"/>
    <n v="5"/>
    <n v="25000"/>
    <s v="0.1"/>
    <x v="43"/>
    <n v="112500"/>
  </r>
  <r>
    <x v="97"/>
    <s v="C001"/>
    <x v="18"/>
    <x v="1"/>
    <x v="2"/>
    <s v="P001"/>
    <x v="9"/>
    <x v="2"/>
    <n v="1"/>
    <n v="450000"/>
    <s v="0"/>
    <x v="44"/>
    <n v="450000"/>
  </r>
  <r>
    <x v="98"/>
    <s v="C008"/>
    <x v="0"/>
    <x v="0"/>
    <x v="0"/>
    <s v="P004"/>
    <x v="0"/>
    <x v="0"/>
    <n v="2"/>
    <n v="8000"/>
    <s v="0"/>
    <x v="45"/>
    <n v="16000"/>
  </r>
  <r>
    <x v="99"/>
    <s v="C015"/>
    <x v="1"/>
    <x v="1"/>
    <x v="0"/>
    <s v="P007"/>
    <x v="1"/>
    <x v="1"/>
    <n v="3"/>
    <n v="140000"/>
    <s v="0"/>
    <x v="46"/>
    <n v="420000"/>
  </r>
  <r>
    <x v="100"/>
    <s v="C002"/>
    <x v="2"/>
    <x v="2"/>
    <x v="0"/>
    <s v="P010"/>
    <x v="2"/>
    <x v="2"/>
    <n v="4"/>
    <n v="75000"/>
    <s v="0"/>
    <x v="47"/>
    <n v="300000"/>
  </r>
  <r>
    <x v="101"/>
    <s v="C009"/>
    <x v="3"/>
    <x v="1"/>
    <x v="1"/>
    <s v="P003"/>
    <x v="3"/>
    <x v="0"/>
    <n v="5"/>
    <n v="15000"/>
    <s v="0"/>
    <x v="48"/>
    <n v="75000"/>
  </r>
  <r>
    <x v="102"/>
    <s v="C016"/>
    <x v="4"/>
    <x v="3"/>
    <x v="2"/>
    <s v="P006"/>
    <x v="4"/>
    <x v="1"/>
    <n v="1"/>
    <n v="95000"/>
    <s v="0.05"/>
    <x v="49"/>
    <n v="90250"/>
  </r>
  <r>
    <x v="103"/>
    <s v="C003"/>
    <x v="5"/>
    <x v="4"/>
    <x v="2"/>
    <s v="P009"/>
    <x v="5"/>
    <x v="2"/>
    <n v="2"/>
    <n v="220000"/>
    <s v="0"/>
    <x v="50"/>
    <n v="440000"/>
  </r>
  <r>
    <x v="104"/>
    <s v="C010"/>
    <x v="6"/>
    <x v="2"/>
    <x v="2"/>
    <s v="P002"/>
    <x v="6"/>
    <x v="2"/>
    <n v="3"/>
    <n v="180000"/>
    <s v="0"/>
    <x v="51"/>
    <n v="540000"/>
  </r>
  <r>
    <x v="105"/>
    <s v="C017"/>
    <x v="7"/>
    <x v="4"/>
    <x v="0"/>
    <s v="P005"/>
    <x v="7"/>
    <x v="3"/>
    <n v="4"/>
    <n v="120000"/>
    <s v="0"/>
    <x v="52"/>
    <n v="480000"/>
  </r>
  <r>
    <x v="106"/>
    <s v="C004"/>
    <x v="8"/>
    <x v="5"/>
    <x v="0"/>
    <s v="P008"/>
    <x v="8"/>
    <x v="0"/>
    <n v="5"/>
    <n v="25000"/>
    <s v="0"/>
    <x v="0"/>
    <n v="125000"/>
  </r>
  <r>
    <x v="107"/>
    <s v="C011"/>
    <x v="19"/>
    <x v="12"/>
    <x v="2"/>
    <s v="P001"/>
    <x v="9"/>
    <x v="2"/>
    <n v="1"/>
    <n v="450000"/>
    <s v="0.1"/>
    <x v="1"/>
    <n v="405000"/>
  </r>
  <r>
    <x v="108"/>
    <s v="C018"/>
    <x v="9"/>
    <x v="5"/>
    <x v="2"/>
    <s v="P004"/>
    <x v="0"/>
    <x v="0"/>
    <n v="2"/>
    <n v="8000"/>
    <s v="0"/>
    <x v="2"/>
    <n v="16000"/>
  </r>
  <r>
    <x v="109"/>
    <s v="C005"/>
    <x v="10"/>
    <x v="6"/>
    <x v="2"/>
    <s v="P007"/>
    <x v="1"/>
    <x v="1"/>
    <n v="3"/>
    <n v="140000"/>
    <s v="0.05"/>
    <x v="3"/>
    <n v="399000"/>
  </r>
  <r>
    <x v="110"/>
    <s v="C012"/>
    <x v="11"/>
    <x v="7"/>
    <x v="0"/>
    <s v="P010"/>
    <x v="2"/>
    <x v="2"/>
    <n v="4"/>
    <n v="75000"/>
    <s v="0"/>
    <x v="4"/>
    <n v="300000"/>
  </r>
  <r>
    <x v="111"/>
    <s v="C019"/>
    <x v="12"/>
    <x v="6"/>
    <x v="1"/>
    <s v="P003"/>
    <x v="3"/>
    <x v="0"/>
    <n v="5"/>
    <n v="15000"/>
    <s v="0"/>
    <x v="5"/>
    <n v="75000"/>
  </r>
  <r>
    <x v="112"/>
    <s v="C006"/>
    <x v="13"/>
    <x v="8"/>
    <x v="1"/>
    <s v="P006"/>
    <x v="4"/>
    <x v="1"/>
    <n v="1"/>
    <n v="95000"/>
    <s v="0"/>
    <x v="6"/>
    <n v="95000"/>
  </r>
  <r>
    <x v="113"/>
    <s v="C013"/>
    <x v="14"/>
    <x v="9"/>
    <x v="2"/>
    <s v="P009"/>
    <x v="5"/>
    <x v="2"/>
    <n v="2"/>
    <n v="220000"/>
    <s v="0"/>
    <x v="7"/>
    <n v="440000"/>
  </r>
  <r>
    <x v="114"/>
    <s v="C020"/>
    <x v="15"/>
    <x v="8"/>
    <x v="0"/>
    <s v="P002"/>
    <x v="6"/>
    <x v="2"/>
    <n v="3"/>
    <n v="180000"/>
    <s v="0"/>
    <x v="8"/>
    <n v="540000"/>
  </r>
  <r>
    <x v="115"/>
    <s v="C007"/>
    <x v="16"/>
    <x v="10"/>
    <x v="2"/>
    <s v="P005"/>
    <x v="7"/>
    <x v="3"/>
    <n v="4"/>
    <n v="120000"/>
    <s v="0"/>
    <x v="9"/>
    <n v="480000"/>
  </r>
  <r>
    <x v="116"/>
    <s v="C014"/>
    <x v="17"/>
    <x v="11"/>
    <x v="1"/>
    <s v="P008"/>
    <x v="8"/>
    <x v="0"/>
    <n v="5"/>
    <n v="25000"/>
    <s v="0.05"/>
    <x v="10"/>
    <n v="118750"/>
  </r>
  <r>
    <x v="117"/>
    <s v="C008"/>
    <x v="0"/>
    <x v="0"/>
    <x v="0"/>
    <s v="P004"/>
    <x v="0"/>
    <x v="0"/>
    <n v="2"/>
    <n v="8000"/>
    <s v="0.1"/>
    <x v="12"/>
    <n v="14400"/>
  </r>
  <r>
    <x v="118"/>
    <s v="C015"/>
    <x v="1"/>
    <x v="1"/>
    <x v="0"/>
    <s v="P007"/>
    <x v="1"/>
    <x v="1"/>
    <n v="3"/>
    <n v="140000"/>
    <s v="0"/>
    <x v="13"/>
    <n v="420000"/>
  </r>
  <r>
    <x v="119"/>
    <s v="C002"/>
    <x v="2"/>
    <x v="2"/>
    <x v="0"/>
    <s v="P010"/>
    <x v="2"/>
    <x v="2"/>
    <n v="4"/>
    <n v="75000"/>
    <s v="0"/>
    <x v="14"/>
    <n v="300000"/>
  </r>
  <r>
    <x v="120"/>
    <s v="C009"/>
    <x v="3"/>
    <x v="1"/>
    <x v="1"/>
    <s v="P003"/>
    <x v="3"/>
    <x v="0"/>
    <n v="5"/>
    <n v="15000"/>
    <s v="0"/>
    <x v="15"/>
    <n v="75000"/>
  </r>
  <r>
    <x v="121"/>
    <s v="C016"/>
    <x v="4"/>
    <x v="3"/>
    <x v="2"/>
    <s v="P006"/>
    <x v="4"/>
    <x v="1"/>
    <n v="1"/>
    <n v="95000"/>
    <s v="0"/>
    <x v="16"/>
    <n v="95000"/>
  </r>
  <r>
    <x v="122"/>
    <s v="C003"/>
    <x v="5"/>
    <x v="4"/>
    <x v="2"/>
    <s v="P009"/>
    <x v="5"/>
    <x v="2"/>
    <n v="2"/>
    <n v="220000"/>
    <s v="0.05"/>
    <x v="17"/>
    <n v="418000"/>
  </r>
  <r>
    <x v="123"/>
    <s v="C010"/>
    <x v="6"/>
    <x v="2"/>
    <x v="2"/>
    <s v="P002"/>
    <x v="6"/>
    <x v="2"/>
    <n v="3"/>
    <n v="180000"/>
    <s v="0"/>
    <x v="18"/>
    <n v="540000"/>
  </r>
  <r>
    <x v="124"/>
    <s v="C017"/>
    <x v="7"/>
    <x v="4"/>
    <x v="0"/>
    <s v="P005"/>
    <x v="7"/>
    <x v="3"/>
    <n v="4"/>
    <n v="120000"/>
    <s v="0"/>
    <x v="19"/>
    <n v="480000"/>
  </r>
  <r>
    <x v="125"/>
    <s v="C004"/>
    <x v="8"/>
    <x v="5"/>
    <x v="0"/>
    <s v="P008"/>
    <x v="8"/>
    <x v="0"/>
    <n v="5"/>
    <n v="25000"/>
    <s v="0"/>
    <x v="20"/>
    <n v="125000"/>
  </r>
  <r>
    <x v="126"/>
    <s v="C011"/>
    <x v="19"/>
    <x v="12"/>
    <x v="2"/>
    <s v="P001"/>
    <x v="9"/>
    <x v="2"/>
    <n v="1"/>
    <n v="450000"/>
    <s v="0"/>
    <x v="21"/>
    <n v="450000"/>
  </r>
  <r>
    <x v="127"/>
    <s v="C018"/>
    <x v="9"/>
    <x v="5"/>
    <x v="2"/>
    <s v="P004"/>
    <x v="0"/>
    <x v="0"/>
    <n v="2"/>
    <n v="8000"/>
    <s v="0"/>
    <x v="22"/>
    <n v="16000"/>
  </r>
  <r>
    <x v="128"/>
    <s v="C005"/>
    <x v="10"/>
    <x v="6"/>
    <x v="2"/>
    <s v="P007"/>
    <x v="1"/>
    <x v="1"/>
    <n v="3"/>
    <n v="140000"/>
    <s v="0.1"/>
    <x v="23"/>
    <n v="378000"/>
  </r>
  <r>
    <x v="129"/>
    <s v="C012"/>
    <x v="11"/>
    <x v="7"/>
    <x v="0"/>
    <s v="P010"/>
    <x v="2"/>
    <x v="2"/>
    <n v="4"/>
    <n v="75000"/>
    <s v="0.05"/>
    <x v="24"/>
    <n v="285000"/>
  </r>
  <r>
    <x v="130"/>
    <s v="C019"/>
    <x v="12"/>
    <x v="6"/>
    <x v="1"/>
    <s v="P003"/>
    <x v="3"/>
    <x v="0"/>
    <n v="5"/>
    <n v="15000"/>
    <s v="0"/>
    <x v="25"/>
    <n v="75000"/>
  </r>
  <r>
    <x v="131"/>
    <s v="C006"/>
    <x v="13"/>
    <x v="8"/>
    <x v="1"/>
    <s v="P006"/>
    <x v="4"/>
    <x v="1"/>
    <n v="1"/>
    <n v="95000"/>
    <s v="0"/>
    <x v="26"/>
    <n v="95000"/>
  </r>
  <r>
    <x v="132"/>
    <s v="C013"/>
    <x v="14"/>
    <x v="9"/>
    <x v="2"/>
    <s v="P009"/>
    <x v="5"/>
    <x v="2"/>
    <n v="2"/>
    <n v="220000"/>
    <s v="0"/>
    <x v="27"/>
    <n v="440000"/>
  </r>
  <r>
    <x v="133"/>
    <s v="C020"/>
    <x v="15"/>
    <x v="8"/>
    <x v="0"/>
    <s v="P002"/>
    <x v="6"/>
    <x v="2"/>
    <n v="3"/>
    <n v="180000"/>
    <s v="0"/>
    <x v="28"/>
    <n v="540000"/>
  </r>
  <r>
    <x v="134"/>
    <s v="C007"/>
    <x v="16"/>
    <x v="10"/>
    <x v="2"/>
    <s v="P005"/>
    <x v="7"/>
    <x v="3"/>
    <n v="4"/>
    <n v="120000"/>
    <s v="0"/>
    <x v="29"/>
    <n v="480000"/>
  </r>
  <r>
    <x v="135"/>
    <s v="C014"/>
    <x v="17"/>
    <x v="11"/>
    <x v="1"/>
    <s v="P008"/>
    <x v="8"/>
    <x v="0"/>
    <n v="5"/>
    <n v="25000"/>
    <s v="0"/>
    <x v="30"/>
    <n v="125000"/>
  </r>
  <r>
    <x v="136"/>
    <s v="C001"/>
    <x v="18"/>
    <x v="1"/>
    <x v="2"/>
    <s v="P001"/>
    <x v="9"/>
    <x v="2"/>
    <n v="1"/>
    <n v="450000"/>
    <s v="0.25"/>
    <x v="31"/>
    <n v="337500"/>
  </r>
  <r>
    <x v="137"/>
    <s v="C008"/>
    <x v="0"/>
    <x v="0"/>
    <x v="0"/>
    <s v="P004"/>
    <x v="0"/>
    <x v="0"/>
    <n v="2"/>
    <n v="8000"/>
    <s v="0"/>
    <x v="32"/>
    <n v="16000"/>
  </r>
  <r>
    <x v="138"/>
    <s v="C015"/>
    <x v="1"/>
    <x v="1"/>
    <x v="0"/>
    <s v="P007"/>
    <x v="1"/>
    <x v="1"/>
    <n v="3"/>
    <n v="140000"/>
    <s v="0"/>
    <x v="33"/>
    <n v="420000"/>
  </r>
  <r>
    <x v="139"/>
    <s v="C002"/>
    <x v="2"/>
    <x v="2"/>
    <x v="0"/>
    <s v="P010"/>
    <x v="2"/>
    <x v="2"/>
    <n v="4"/>
    <n v="75000"/>
    <s v="0.1"/>
    <x v="34"/>
    <n v="270000"/>
  </r>
  <r>
    <x v="140"/>
    <s v="C009"/>
    <x v="3"/>
    <x v="1"/>
    <x v="1"/>
    <s v="P003"/>
    <x v="3"/>
    <x v="0"/>
    <n v="5"/>
    <n v="15000"/>
    <s v="0"/>
    <x v="35"/>
    <n v="75000"/>
  </r>
  <r>
    <x v="141"/>
    <s v="C016"/>
    <x v="4"/>
    <x v="3"/>
    <x v="2"/>
    <s v="P006"/>
    <x v="4"/>
    <x v="1"/>
    <n v="1"/>
    <n v="95000"/>
    <s v="0"/>
    <x v="36"/>
    <n v="95000"/>
  </r>
  <r>
    <x v="142"/>
    <s v="C003"/>
    <x v="5"/>
    <x v="4"/>
    <x v="2"/>
    <s v="P009"/>
    <x v="5"/>
    <x v="2"/>
    <n v="2"/>
    <n v="220000"/>
    <s v="0"/>
    <x v="37"/>
    <n v="440000"/>
  </r>
  <r>
    <x v="143"/>
    <s v="C010"/>
    <x v="6"/>
    <x v="2"/>
    <x v="2"/>
    <s v="P002"/>
    <x v="6"/>
    <x v="2"/>
    <n v="3"/>
    <n v="180000"/>
    <s v="0.05"/>
    <x v="38"/>
    <n v="513000"/>
  </r>
  <r>
    <x v="144"/>
    <s v="C017"/>
    <x v="7"/>
    <x v="4"/>
    <x v="0"/>
    <s v="P005"/>
    <x v="7"/>
    <x v="3"/>
    <n v="4"/>
    <n v="120000"/>
    <s v="0"/>
    <x v="53"/>
    <n v="480000"/>
  </r>
  <r>
    <x v="145"/>
    <s v="C004"/>
    <x v="8"/>
    <x v="5"/>
    <x v="0"/>
    <s v="P008"/>
    <x v="8"/>
    <x v="0"/>
    <n v="5"/>
    <n v="25000"/>
    <s v="0"/>
    <x v="39"/>
    <n v="125000"/>
  </r>
  <r>
    <x v="146"/>
    <s v="C011"/>
    <x v="19"/>
    <x v="12"/>
    <x v="2"/>
    <s v="P001"/>
    <x v="9"/>
    <x v="2"/>
    <n v="1"/>
    <n v="450000"/>
    <s v="0"/>
    <x v="40"/>
    <n v="45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6"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rowHeaderCaption="Month">
  <location ref="B15:B16" firstHeaderRow="1" firstDataRow="1" firstDataCol="0"/>
  <pivotFields count="13">
    <pivotField showAll="0">
      <items count="1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showAll="0"/>
    <pivotField showAll="0">
      <items count="21">
        <item x="18"/>
        <item x="3"/>
        <item x="8"/>
        <item x="2"/>
        <item x="11"/>
        <item x="0"/>
        <item x="19"/>
        <item x="16"/>
        <item x="10"/>
        <item x="7"/>
        <item x="6"/>
        <item x="14"/>
        <item x="9"/>
        <item x="5"/>
        <item x="12"/>
        <item x="17"/>
        <item x="4"/>
        <item x="1"/>
        <item x="13"/>
        <item x="15"/>
        <item t="default"/>
      </items>
    </pivotField>
    <pivotField showAll="0">
      <items count="14">
        <item x="3"/>
        <item x="2"/>
        <item x="7"/>
        <item x="6"/>
        <item x="11"/>
        <item x="0"/>
        <item x="8"/>
        <item x="10"/>
        <item x="4"/>
        <item x="1"/>
        <item x="5"/>
        <item x="9"/>
        <item x="12"/>
        <item t="default"/>
      </items>
    </pivotField>
    <pivotField showAll="0"/>
    <pivotField showAll="0"/>
    <pivotField showAll="0">
      <items count="11">
        <item x="1"/>
        <item x="2"/>
        <item x="8"/>
        <item x="3"/>
        <item x="9"/>
        <item x="6"/>
        <item x="0"/>
        <item x="4"/>
        <item x="7"/>
        <item x="5"/>
        <item t="default"/>
      </items>
    </pivotField>
    <pivotField showAll="0">
      <items count="5">
        <item x="0"/>
        <item x="2"/>
        <item x="1"/>
        <item x="3"/>
        <item t="default"/>
      </items>
    </pivotField>
    <pivotField showAll="0"/>
    <pivotField numFmtId="3" showAll="0"/>
    <pivotField showAll="0"/>
    <pivotField showAll="0">
      <items count="15">
        <item x="0"/>
        <item x="1"/>
        <item x="2"/>
        <item x="3"/>
        <item x="4"/>
        <item x="5"/>
        <item x="6"/>
        <item x="7"/>
        <item x="8"/>
        <item x="9"/>
        <item x="10"/>
        <item x="11"/>
        <item x="12"/>
        <item x="13"/>
        <item t="default"/>
      </items>
    </pivotField>
    <pivotField dataField="1" numFmtId="3" showAll="0"/>
  </pivotFields>
  <rowItems count="1">
    <i/>
  </rowItems>
  <colItems count="1">
    <i/>
  </colItems>
  <dataFields count="1">
    <dataField name="Average of SalesAmount" fld="12" subtotal="average" baseField="0" baseItem="0" numFmtId="167"/>
  </dataFields>
  <formats count="1">
    <format dxfId="1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7"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rowHeaderCaption="Products">
  <location ref="B19:C30" firstHeaderRow="1" firstDataRow="1" firstDataCol="1"/>
  <pivotFields count="13">
    <pivotField showAll="0">
      <items count="1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showAll="0"/>
    <pivotField showAll="0">
      <items count="21">
        <item x="18"/>
        <item x="3"/>
        <item x="8"/>
        <item x="2"/>
        <item x="11"/>
        <item x="0"/>
        <item x="19"/>
        <item x="16"/>
        <item x="10"/>
        <item x="7"/>
        <item x="6"/>
        <item x="14"/>
        <item x="9"/>
        <item x="5"/>
        <item x="12"/>
        <item x="17"/>
        <item x="4"/>
        <item x="1"/>
        <item x="13"/>
        <item x="15"/>
        <item t="default"/>
      </items>
    </pivotField>
    <pivotField showAll="0">
      <items count="14">
        <item x="3"/>
        <item x="2"/>
        <item x="7"/>
        <item x="6"/>
        <item x="11"/>
        <item x="0"/>
        <item x="8"/>
        <item x="10"/>
        <item x="4"/>
        <item x="1"/>
        <item x="5"/>
        <item x="9"/>
        <item x="12"/>
        <item t="default"/>
      </items>
    </pivotField>
    <pivotField showAll="0"/>
    <pivotField showAll="0"/>
    <pivotField axis="axisRow" showAll="0" sortType="descending">
      <items count="11">
        <item x="1"/>
        <item x="2"/>
        <item x="8"/>
        <item x="3"/>
        <item x="9"/>
        <item x="6"/>
        <item x="0"/>
        <item x="4"/>
        <item x="7"/>
        <item x="5"/>
        <item t="default"/>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 showAll="0"/>
    <pivotField numFmtId="3" showAll="0"/>
    <pivotField showAll="0"/>
    <pivotField showAll="0">
      <items count="15">
        <item x="0"/>
        <item x="1"/>
        <item x="2"/>
        <item x="3"/>
        <item x="4"/>
        <item x="5"/>
        <item x="6"/>
        <item x="7"/>
        <item x="8"/>
        <item x="9"/>
        <item x="10"/>
        <item x="11"/>
        <item x="12"/>
        <item x="13"/>
        <item t="default"/>
      </items>
    </pivotField>
    <pivotField dataField="1" numFmtId="3" showAll="0"/>
  </pivotFields>
  <rowFields count="1">
    <field x="6"/>
  </rowFields>
  <rowItems count="11">
    <i>
      <x v="5"/>
    </i>
    <i>
      <x v="8"/>
    </i>
    <i>
      <x v="9"/>
    </i>
    <i>
      <x/>
    </i>
    <i>
      <x v="4"/>
    </i>
    <i>
      <x v="1"/>
    </i>
    <i>
      <x v="2"/>
    </i>
    <i>
      <x v="7"/>
    </i>
    <i>
      <x v="3"/>
    </i>
    <i>
      <x v="6"/>
    </i>
    <i t="grand">
      <x/>
    </i>
  </rowItems>
  <colItems count="1">
    <i/>
  </colItems>
  <dataFields count="1">
    <dataField name="Sum of SalesAmount" fld="12" baseField="6" baseItem="5"/>
  </dataFields>
  <formats count="2">
    <format dxfId="114">
      <pivotArea outline="0" collapsedLevelsAreSubtotals="1" fieldPosition="0"/>
    </format>
    <format dxfId="113">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5"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rowHeaderCaption="Month">
  <location ref="B11:B12" firstHeaderRow="1" firstDataRow="1" firstDataCol="0"/>
  <pivotFields count="13">
    <pivotField showAll="0">
      <items count="1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showAll="0"/>
    <pivotField showAll="0">
      <items count="21">
        <item x="18"/>
        <item x="3"/>
        <item x="8"/>
        <item x="2"/>
        <item x="11"/>
        <item x="0"/>
        <item x="19"/>
        <item x="16"/>
        <item x="10"/>
        <item x="7"/>
        <item x="6"/>
        <item x="14"/>
        <item x="9"/>
        <item x="5"/>
        <item x="12"/>
        <item x="17"/>
        <item x="4"/>
        <item x="1"/>
        <item x="13"/>
        <item x="15"/>
        <item t="default"/>
      </items>
    </pivotField>
    <pivotField showAll="0">
      <items count="14">
        <item x="3"/>
        <item x="2"/>
        <item x="7"/>
        <item x="6"/>
        <item x="11"/>
        <item x="0"/>
        <item x="8"/>
        <item x="10"/>
        <item x="4"/>
        <item x="1"/>
        <item x="5"/>
        <item x="9"/>
        <item x="12"/>
        <item t="default"/>
      </items>
    </pivotField>
    <pivotField showAll="0"/>
    <pivotField showAll="0"/>
    <pivotField showAll="0">
      <items count="11">
        <item x="1"/>
        <item x="2"/>
        <item x="8"/>
        <item x="3"/>
        <item x="9"/>
        <item x="6"/>
        <item x="0"/>
        <item x="4"/>
        <item x="7"/>
        <item x="5"/>
        <item t="default"/>
      </items>
    </pivotField>
    <pivotField showAll="0">
      <items count="5">
        <item x="0"/>
        <item x="2"/>
        <item x="1"/>
        <item x="3"/>
        <item t="default"/>
      </items>
    </pivotField>
    <pivotField dataField="1" showAll="0"/>
    <pivotField numFmtId="3" showAll="0"/>
    <pivotField showAll="0"/>
    <pivotField showAll="0">
      <items count="15">
        <item x="0"/>
        <item x="1"/>
        <item x="2"/>
        <item x="3"/>
        <item x="4"/>
        <item x="5"/>
        <item x="6"/>
        <item x="7"/>
        <item x="8"/>
        <item x="9"/>
        <item x="10"/>
        <item x="11"/>
        <item x="12"/>
        <item x="13"/>
        <item t="default"/>
      </items>
    </pivotField>
    <pivotField numFmtId="3" showAll="0"/>
  </pivotFields>
  <rowItems count="1">
    <i/>
  </rowItems>
  <colItems count="1">
    <i/>
  </colItems>
  <dataFields count="1">
    <dataField name="Sum of Quantity" fld="8" baseField="0" baseItem="0" numFmtId="164"/>
  </dataFields>
  <formats count="1">
    <format dxfId="1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rowHeaderCaption="Month">
  <location ref="B58:C65" firstHeaderRow="1" firstDataRow="1" firstDataCol="1"/>
  <pivotFields count="13">
    <pivotField showAll="0"/>
    <pivotField showAll="0"/>
    <pivotField showAll="0" sortType="descending">
      <items count="21">
        <item x="18"/>
        <item x="3"/>
        <item x="8"/>
        <item x="2"/>
        <item x="11"/>
        <item x="0"/>
        <item x="19"/>
        <item x="16"/>
        <item x="10"/>
        <item x="7"/>
        <item x="6"/>
        <item x="14"/>
        <item x="9"/>
        <item x="5"/>
        <item x="12"/>
        <item x="17"/>
        <item x="4"/>
        <item x="1"/>
        <item x="13"/>
        <item x="15"/>
        <item t="default"/>
      </items>
      <autoSortScope>
        <pivotArea dataOnly="0" outline="0" fieldPosition="0">
          <references count="1">
            <reference field="4294967294" count="1" selected="0">
              <x v="0"/>
            </reference>
          </references>
        </pivotArea>
      </autoSortScope>
    </pivotField>
    <pivotField showAll="0" sortType="descending">
      <items count="14">
        <item x="3"/>
        <item x="2"/>
        <item x="7"/>
        <item x="6"/>
        <item x="11"/>
        <item x="0"/>
        <item x="8"/>
        <item x="10"/>
        <item x="4"/>
        <item x="1"/>
        <item x="5"/>
        <item x="9"/>
        <item x="12"/>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11">
        <item x="1"/>
        <item x="2"/>
        <item x="8"/>
        <item x="3"/>
        <item x="9"/>
        <item x="6"/>
        <item x="0"/>
        <item x="4"/>
        <item x="7"/>
        <item x="5"/>
        <item t="default"/>
      </items>
      <autoSortScope>
        <pivotArea dataOnly="0" outline="0" fieldPosition="0">
          <references count="1">
            <reference field="4294967294" count="1" selected="0">
              <x v="0"/>
            </reference>
          </references>
        </pivotArea>
      </autoSortScope>
    </pivotField>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numFmtId="3" showAll="0"/>
    <pivotField showAll="0"/>
    <pivotField axis="axisRow" showAll="0" sortType="descending">
      <items count="15">
        <item x="13"/>
        <item x="0"/>
        <item x="12"/>
        <item x="11"/>
        <item x="10"/>
        <item x="9"/>
        <item x="8"/>
        <item x="7"/>
        <item x="6"/>
        <item x="5"/>
        <item x="4"/>
        <item x="3"/>
        <item x="2"/>
        <item x="1"/>
        <item t="default"/>
      </items>
    </pivotField>
    <pivotField dataField="1" numFmtId="3" showAll="0"/>
  </pivotFields>
  <rowFields count="1">
    <field x="11"/>
  </rowFields>
  <rowItems count="7">
    <i>
      <x v="8"/>
    </i>
    <i>
      <x v="9"/>
    </i>
    <i>
      <x v="10"/>
    </i>
    <i>
      <x v="11"/>
    </i>
    <i>
      <x v="12"/>
    </i>
    <i>
      <x v="13"/>
    </i>
    <i t="grand">
      <x/>
    </i>
  </rowItems>
  <colItems count="1">
    <i/>
  </colItems>
  <dataFields count="1">
    <dataField name="Sum of SalesAmount" fld="12" baseField="0" baseItem="0"/>
  </dataFields>
  <formats count="2">
    <format dxfId="117">
      <pivotArea outline="0" collapsedLevelsAreSubtotals="1" fieldPosition="0"/>
    </format>
    <format dxfId="116">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8"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rowHeaderCaption="Category">
  <location ref="B33:C38" firstHeaderRow="1" firstDataRow="1" firstDataCol="1"/>
  <pivotFields count="13">
    <pivotField showAll="0">
      <items count="1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showAll="0"/>
    <pivotField showAll="0">
      <items count="21">
        <item x="18"/>
        <item x="3"/>
        <item x="8"/>
        <item x="2"/>
        <item x="11"/>
        <item x="0"/>
        <item x="19"/>
        <item x="16"/>
        <item x="10"/>
        <item x="7"/>
        <item x="6"/>
        <item x="14"/>
        <item x="9"/>
        <item x="5"/>
        <item x="12"/>
        <item x="17"/>
        <item x="4"/>
        <item x="1"/>
        <item x="13"/>
        <item x="15"/>
        <item t="default"/>
      </items>
    </pivotField>
    <pivotField showAll="0">
      <items count="14">
        <item x="3"/>
        <item x="2"/>
        <item x="7"/>
        <item x="6"/>
        <item x="11"/>
        <item x="0"/>
        <item x="8"/>
        <item x="10"/>
        <item x="4"/>
        <item x="1"/>
        <item x="5"/>
        <item x="9"/>
        <item x="12"/>
        <item t="default"/>
      </items>
    </pivotField>
    <pivotField showAll="0"/>
    <pivotField showAll="0"/>
    <pivotField showAll="0" sortType="descending">
      <items count="11">
        <item x="1"/>
        <item x="2"/>
        <item x="8"/>
        <item x="3"/>
        <item x="9"/>
        <item x="6"/>
        <item x="0"/>
        <item x="4"/>
        <item x="7"/>
        <item x="5"/>
        <item t="default"/>
      </items>
      <autoSortScope>
        <pivotArea dataOnly="0" outline="0" fieldPosition="0">
          <references count="1">
            <reference field="4294967294" count="1" selected="0">
              <x v="0"/>
            </reference>
          </references>
        </pivotArea>
      </autoSortScope>
    </pivotField>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numFmtId="3" showAll="0"/>
    <pivotField showAll="0"/>
    <pivotField showAll="0">
      <items count="15">
        <item x="0"/>
        <item x="1"/>
        <item x="2"/>
        <item x="3"/>
        <item x="4"/>
        <item x="5"/>
        <item x="6"/>
        <item x="7"/>
        <item x="8"/>
        <item x="9"/>
        <item x="10"/>
        <item x="11"/>
        <item x="12"/>
        <item x="13"/>
        <item t="default"/>
      </items>
    </pivotField>
    <pivotField dataField="1" numFmtId="3" showAll="0"/>
  </pivotFields>
  <rowFields count="1">
    <field x="7"/>
  </rowFields>
  <rowItems count="5">
    <i>
      <x v="1"/>
    </i>
    <i>
      <x v="2"/>
    </i>
    <i>
      <x v="3"/>
    </i>
    <i>
      <x/>
    </i>
    <i t="grand">
      <x/>
    </i>
  </rowItems>
  <colItems count="1">
    <i/>
  </colItems>
  <dataFields count="1">
    <dataField name="Sum of SalesAmount" fld="12" baseField="7" baseItem="0"/>
  </dataFields>
  <formats count="2">
    <format dxfId="119">
      <pivotArea outline="0" collapsedLevelsAreSubtotals="1" fieldPosition="0"/>
    </format>
    <format dxfId="118">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rowHeaderCaption="Month">
  <location ref="B68:C72" firstHeaderRow="1" firstDataRow="1" firstDataCol="1"/>
  <pivotFields count="13">
    <pivotField showAll="0"/>
    <pivotField showAll="0"/>
    <pivotField showAll="0" sortType="descending">
      <items count="21">
        <item x="18"/>
        <item x="3"/>
        <item x="8"/>
        <item x="2"/>
        <item x="11"/>
        <item x="0"/>
        <item x="19"/>
        <item x="16"/>
        <item x="10"/>
        <item x="7"/>
        <item x="6"/>
        <item x="14"/>
        <item x="9"/>
        <item x="5"/>
        <item x="12"/>
        <item x="17"/>
        <item x="4"/>
        <item x="1"/>
        <item x="13"/>
        <item x="15"/>
        <item t="default"/>
      </items>
      <autoSortScope>
        <pivotArea dataOnly="0" outline="0" fieldPosition="0">
          <references count="1">
            <reference field="4294967294" count="1" selected="0">
              <x v="0"/>
            </reference>
          </references>
        </pivotArea>
      </autoSortScope>
    </pivotField>
    <pivotField showAll="0" sortType="descending">
      <items count="14">
        <item x="3"/>
        <item x="2"/>
        <item x="7"/>
        <item x="6"/>
        <item x="11"/>
        <item x="0"/>
        <item x="8"/>
        <item x="10"/>
        <item x="4"/>
        <item x="1"/>
        <item x="5"/>
        <item x="9"/>
        <item x="12"/>
        <item t="default"/>
      </items>
      <autoSortScope>
        <pivotArea dataOnly="0" outline="0" fieldPosition="0">
          <references count="1">
            <reference field="4294967294" count="1" selected="0">
              <x v="0"/>
            </reference>
          </references>
        </pivotArea>
      </autoSortScope>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sortType="descending">
      <items count="11">
        <item x="1"/>
        <item x="2"/>
        <item x="8"/>
        <item x="3"/>
        <item x="9"/>
        <item x="6"/>
        <item x="0"/>
        <item x="4"/>
        <item x="7"/>
        <item x="5"/>
        <item t="default"/>
      </items>
      <autoSortScope>
        <pivotArea dataOnly="0" outline="0" fieldPosition="0">
          <references count="1">
            <reference field="4294967294" count="1" selected="0">
              <x v="0"/>
            </reference>
          </references>
        </pivotArea>
      </autoSortScope>
    </pivotField>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numFmtId="3" showAll="0"/>
    <pivotField showAll="0"/>
    <pivotField showAll="0" sortType="descending">
      <items count="15">
        <item x="13"/>
        <item x="0"/>
        <item x="12"/>
        <item x="11"/>
        <item x="10"/>
        <item x="9"/>
        <item x="8"/>
        <item x="7"/>
        <item x="6"/>
        <item x="5"/>
        <item x="4"/>
        <item x="3"/>
        <item x="2"/>
        <item x="1"/>
        <item t="default"/>
      </items>
    </pivotField>
    <pivotField dataField="1" numFmtId="3" showAll="0"/>
  </pivotFields>
  <rowFields count="1">
    <field x="4"/>
  </rowFields>
  <rowItems count="4">
    <i>
      <x v="1"/>
    </i>
    <i>
      <x/>
    </i>
    <i>
      <x v="2"/>
    </i>
    <i t="grand">
      <x/>
    </i>
  </rowItems>
  <colItems count="1">
    <i/>
  </colItems>
  <dataFields count="1">
    <dataField name="Sum of SalesAmount" fld="12" baseField="0" baseItem="0"/>
  </dataFields>
  <formats count="2">
    <format dxfId="121">
      <pivotArea outline="0" collapsedLevelsAreSubtotals="1" fieldPosition="0"/>
    </format>
    <format dxfId="120">
      <pivotArea grandRow="1"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1"/>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rowHeaderCaption="Month">
  <location ref="B7:B8" firstHeaderRow="1" firstDataRow="1" firstDataCol="0"/>
  <pivotFields count="13">
    <pivotField showAll="0">
      <items count="1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showAll="0"/>
    <pivotField showAll="0">
      <items count="21">
        <item x="18"/>
        <item x="3"/>
        <item x="8"/>
        <item x="2"/>
        <item x="11"/>
        <item x="0"/>
        <item x="19"/>
        <item x="16"/>
        <item x="10"/>
        <item x="7"/>
        <item x="6"/>
        <item x="14"/>
        <item x="9"/>
        <item x="5"/>
        <item x="12"/>
        <item x="17"/>
        <item x="4"/>
        <item x="1"/>
        <item x="13"/>
        <item x="15"/>
        <item t="default"/>
      </items>
    </pivotField>
    <pivotField showAll="0">
      <items count="14">
        <item x="3"/>
        <item x="2"/>
        <item x="7"/>
        <item x="6"/>
        <item x="11"/>
        <item x="0"/>
        <item x="8"/>
        <item x="10"/>
        <item x="4"/>
        <item x="1"/>
        <item x="5"/>
        <item x="9"/>
        <item x="12"/>
        <item t="default"/>
      </items>
    </pivotField>
    <pivotField showAll="0"/>
    <pivotField showAll="0"/>
    <pivotField showAll="0">
      <items count="11">
        <item x="1"/>
        <item x="2"/>
        <item x="8"/>
        <item x="3"/>
        <item x="9"/>
        <item x="6"/>
        <item x="0"/>
        <item x="4"/>
        <item x="7"/>
        <item x="5"/>
        <item t="default"/>
      </items>
    </pivotField>
    <pivotField showAll="0">
      <items count="5">
        <item x="0"/>
        <item x="2"/>
        <item x="1"/>
        <item x="3"/>
        <item t="default"/>
      </items>
    </pivotField>
    <pivotField showAll="0"/>
    <pivotField numFmtId="3" showAll="0"/>
    <pivotField showAll="0"/>
    <pivotField showAll="0">
      <items count="15">
        <item x="0"/>
        <item x="1"/>
        <item x="2"/>
        <item x="3"/>
        <item x="4"/>
        <item x="5"/>
        <item x="6"/>
        <item x="7"/>
        <item x="8"/>
        <item x="9"/>
        <item x="10"/>
        <item x="11"/>
        <item x="12"/>
        <item x="13"/>
        <item t="default"/>
      </items>
    </pivotField>
    <pivotField dataField="1" numFmtId="3" showAll="0"/>
  </pivotFields>
  <rowItems count="1">
    <i/>
  </rowItems>
  <colItems count="1">
    <i/>
  </colItems>
  <dataFields count="1">
    <dataField name="Count of SalesAmount" fld="12" subtotal="count" baseField="0" baseItem="0" numFmtId="166"/>
  </dataFields>
  <formats count="1">
    <format dxfId="1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rowHeaderCaption="Month">
  <location ref="B3:B4" firstHeaderRow="1" firstDataRow="1" firstDataCol="0"/>
  <pivotFields count="13">
    <pivotField showAll="0"/>
    <pivotField showAll="0"/>
    <pivotField showAll="0">
      <items count="21">
        <item x="18"/>
        <item x="3"/>
        <item x="8"/>
        <item x="2"/>
        <item x="11"/>
        <item x="0"/>
        <item x="19"/>
        <item x="16"/>
        <item x="10"/>
        <item x="7"/>
        <item x="6"/>
        <item x="14"/>
        <item x="9"/>
        <item x="5"/>
        <item x="12"/>
        <item x="17"/>
        <item x="4"/>
        <item x="1"/>
        <item x="13"/>
        <item x="15"/>
        <item t="default"/>
      </items>
    </pivotField>
    <pivotField showAll="0">
      <items count="14">
        <item x="3"/>
        <item x="2"/>
        <item x="7"/>
        <item x="6"/>
        <item x="11"/>
        <item x="0"/>
        <item x="8"/>
        <item x="10"/>
        <item x="4"/>
        <item x="1"/>
        <item x="5"/>
        <item x="9"/>
        <item x="12"/>
        <item t="default"/>
      </items>
    </pivotField>
    <pivotField showAll="0"/>
    <pivotField showAll="0"/>
    <pivotField showAll="0">
      <items count="11">
        <item x="1"/>
        <item x="2"/>
        <item x="8"/>
        <item x="3"/>
        <item x="9"/>
        <item x="6"/>
        <item x="0"/>
        <item x="4"/>
        <item x="7"/>
        <item x="5"/>
        <item t="default"/>
      </items>
    </pivotField>
    <pivotField showAll="0">
      <items count="5">
        <item x="0"/>
        <item x="2"/>
        <item x="1"/>
        <item x="3"/>
        <item t="default"/>
      </items>
    </pivotField>
    <pivotField showAll="0"/>
    <pivotField numFmtId="3" showAll="0"/>
    <pivotField showAll="0"/>
    <pivotField showAll="0">
      <items count="15">
        <item x="0"/>
        <item x="1"/>
        <item x="2"/>
        <item x="3"/>
        <item x="4"/>
        <item x="5"/>
        <item x="6"/>
        <item x="7"/>
        <item x="8"/>
        <item x="9"/>
        <item x="10"/>
        <item x="11"/>
        <item x="12"/>
        <item x="13"/>
        <item t="default"/>
      </items>
    </pivotField>
    <pivotField dataField="1" numFmtId="3" showAll="0"/>
  </pivotFields>
  <rowItems count="1">
    <i/>
  </rowItems>
  <colItems count="1">
    <i/>
  </colItems>
  <dataFields count="1">
    <dataField name="Sum of SalesAmount" fld="12" baseField="0" baseItem="0" numFmtId="167"/>
  </dataFields>
  <formats count="1">
    <format dxfId="1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9"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rowHeaderCaption="City">
  <location ref="B41:C55" firstHeaderRow="1" firstDataRow="1" firstDataCol="1"/>
  <pivotFields count="13">
    <pivotField showAll="0">
      <items count="1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showAll="0"/>
    <pivotField showAll="0">
      <items count="21">
        <item x="18"/>
        <item x="3"/>
        <item x="8"/>
        <item x="2"/>
        <item x="11"/>
        <item x="0"/>
        <item x="19"/>
        <item x="16"/>
        <item x="10"/>
        <item x="7"/>
        <item x="6"/>
        <item x="14"/>
        <item x="9"/>
        <item x="5"/>
        <item x="12"/>
        <item x="17"/>
        <item x="4"/>
        <item x="1"/>
        <item x="13"/>
        <item x="15"/>
        <item t="default"/>
      </items>
    </pivotField>
    <pivotField axis="axisRow" showAll="0" sortType="ascending">
      <items count="14">
        <item x="3"/>
        <item x="2"/>
        <item x="7"/>
        <item x="6"/>
        <item x="11"/>
        <item x="0"/>
        <item x="8"/>
        <item x="10"/>
        <item x="4"/>
        <item x="1"/>
        <item x="5"/>
        <item x="9"/>
        <item x="12"/>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11">
        <item x="1"/>
        <item x="2"/>
        <item x="8"/>
        <item x="3"/>
        <item x="9"/>
        <item x="6"/>
        <item x="0"/>
        <item x="4"/>
        <item x="7"/>
        <item x="5"/>
        <item t="default"/>
      </items>
      <autoSortScope>
        <pivotArea dataOnly="0" outline="0" fieldPosition="0">
          <references count="1">
            <reference field="4294967294" count="1" selected="0">
              <x v="0"/>
            </reference>
          </references>
        </pivotArea>
      </autoSortScope>
    </pivotField>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numFmtId="3" showAll="0"/>
    <pivotField showAll="0"/>
    <pivotField showAll="0">
      <items count="15">
        <item x="0"/>
        <item x="1"/>
        <item x="2"/>
        <item x="3"/>
        <item x="4"/>
        <item x="5"/>
        <item x="6"/>
        <item x="7"/>
        <item x="8"/>
        <item x="9"/>
        <item x="10"/>
        <item x="11"/>
        <item x="12"/>
        <item x="13"/>
        <item t="default"/>
      </items>
    </pivotField>
    <pivotField dataField="1" numFmtId="3" showAll="0"/>
  </pivotFields>
  <rowFields count="1">
    <field x="3"/>
  </rowFields>
  <rowItems count="14">
    <i>
      <x v="5"/>
    </i>
    <i>
      <x/>
    </i>
    <i>
      <x v="4"/>
    </i>
    <i>
      <x v="10"/>
    </i>
    <i>
      <x v="2"/>
    </i>
    <i>
      <x v="11"/>
    </i>
    <i>
      <x v="12"/>
    </i>
    <i>
      <x v="7"/>
    </i>
    <i>
      <x v="3"/>
    </i>
    <i>
      <x v="6"/>
    </i>
    <i>
      <x v="9"/>
    </i>
    <i>
      <x v="1"/>
    </i>
    <i>
      <x v="8"/>
    </i>
    <i t="grand">
      <x/>
    </i>
  </rowItems>
  <colItems count="1">
    <i/>
  </colItems>
  <dataFields count="1">
    <dataField name="Sum of SalesAmount" fld="12" baseField="7" baseItem="0"/>
  </dataFields>
  <formats count="2">
    <format dxfId="125">
      <pivotArea outline="0" collapsedLevelsAreSubtotals="1" fieldPosition="0"/>
    </format>
    <format dxfId="124">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echBridge_Task_8_Dataset" connectionId="1" xr16:uid="{00000000-0016-0000-0300-000000000000}" autoFormatId="16" applyNumberFormats="0" applyBorderFormats="0" applyFontFormats="0" applyPatternFormats="0" applyAlignmentFormats="0" applyWidthHeightFormats="0">
  <queryTableRefresh nextId="5">
    <queryTableFields count="4">
      <queryTableField id="1" name="CustomerID" tableColumnId="1"/>
      <queryTableField id="2" name="CustomerName" tableColumnId="2"/>
      <queryTableField id="3" name="City" tableColumnId="3"/>
      <queryTableField id="4" name="CustomerTyp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echBridge_Task_8_Dataset_1" connectionId="2" xr16:uid="{00000000-0016-0000-0300-000001000000}" autoFormatId="16" applyNumberFormats="0" applyBorderFormats="0" applyFontFormats="0" applyPatternFormats="0" applyAlignmentFormats="0" applyWidthHeightFormats="0">
  <queryTableRefresh nextId="5">
    <queryTableFields count="4">
      <queryTableField id="1" name="ProductID" tableColumnId="1"/>
      <queryTableField id="2" name="ProductName" tableColumnId="2"/>
      <queryTableField id="3" name="Category" tableColumnId="3"/>
      <queryTableField id="4" name="UnitPric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echBridge_Task_8_Dataset_2" connectionId="3" xr16:uid="{00000000-0016-0000-0300-000002000000}" autoFormatId="16" applyNumberFormats="0" applyBorderFormats="0" applyFontFormats="0" applyPatternFormats="0" applyAlignmentFormats="0" applyWidthHeightFormats="0">
  <queryTableRefresh nextId="7">
    <queryTableFields count="6">
      <queryTableField id="1" name="TransactionID" tableColumnId="1"/>
      <queryTableField id="2" name="CustomerID" tableColumnId="2"/>
      <queryTableField id="3" name="ProductID" tableColumnId="3"/>
      <queryTableField id="4" name="TransactionDate" tableColumnId="4"/>
      <queryTableField id="5" name="Quantity" tableColumnId="5"/>
      <queryTableField id="6" name="Discount"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echBridge_Task_8_Dataset_2" connectionId="4" xr16:uid="{00000000-0016-0000-0400-000003000000}" autoFormatId="16" applyNumberFormats="0" applyBorderFormats="0" applyFontFormats="0" applyPatternFormats="0" applyAlignmentFormats="0" applyWidthHeightFormats="0">
  <queryTableRefresh nextId="22" unboundColumnsRight="1">
    <queryTableFields count="13">
      <queryTableField id="1" name="TransactionID" tableColumnId="1"/>
      <queryTableField id="2" name="CustomerID" tableColumnId="2"/>
      <queryTableField id="7" dataBound="0" tableColumnId="14"/>
      <queryTableField id="8" dataBound="0" tableColumnId="15"/>
      <queryTableField id="9" dataBound="0" tableColumnId="16"/>
      <queryTableField id="3" name="ProductID" tableColumnId="18"/>
      <queryTableField id="10" dataBound="0" tableColumnId="17"/>
      <queryTableField id="11" dataBound="0" tableColumnId="3"/>
      <queryTableField id="5" name="Quantity" tableColumnId="19"/>
      <queryTableField id="12" dataBound="0" tableColumnId="21"/>
      <queryTableField id="6" name="Discount" tableColumnId="20"/>
      <queryTableField id="4" name="TransactionDate" tableColumnId="4"/>
      <queryTableField id="21"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1000000}" sourceName="City">
  <pivotTables>
    <pivotTable tabId="6" name="PivotTable1"/>
    <pivotTable tabId="6" name="PivotTable3"/>
    <pivotTable tabId="6" name="PivotTable4"/>
    <pivotTable tabId="6" name="PivotTable5"/>
    <pivotTable tabId="6" name="PivotTable6"/>
    <pivotTable tabId="6" name="PivotTable7"/>
    <pivotTable tabId="6" name="PivotTable8"/>
    <pivotTable tabId="6" name="PivotTable9"/>
    <pivotTable tabId="6" name="PivotTable2"/>
  </pivotTables>
  <data>
    <tabular pivotCacheId="1">
      <items count="13">
        <i x="3" s="1"/>
        <i x="2" s="1"/>
        <i x="7" s="1"/>
        <i x="6" s="1"/>
        <i x="11" s="1"/>
        <i x="0" s="1"/>
        <i x="8" s="1"/>
        <i x="10" s="1"/>
        <i x="4" s="1"/>
        <i x="1" s="1"/>
        <i x="5" s="1"/>
        <i x="9"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6" name="PivotTable1"/>
    <pivotTable tabId="6" name="PivotTable3"/>
    <pivotTable tabId="6" name="PivotTable4"/>
    <pivotTable tabId="6" name="PivotTable5"/>
    <pivotTable tabId="6" name="PivotTable6"/>
    <pivotTable tabId="6" name="PivotTable7"/>
    <pivotTable tabId="6" name="PivotTable8"/>
    <pivotTable tabId="6" name="PivotTable9"/>
    <pivotTable tabId="6" name="PivotTable2"/>
  </pivotTables>
  <data>
    <tabular pivotCacheId="1">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Date" xr10:uid="{00000000-0013-0000-FFFF-FFFF03000000}" sourceName="TransactionDate">
  <pivotTables>
    <pivotTable tabId="6" name="PivotTable1"/>
    <pivotTable tabId="6" name="PivotTable3"/>
    <pivotTable tabId="6" name="PivotTable4"/>
    <pivotTable tabId="6" name="PivotTable5"/>
    <pivotTable tabId="6" name="PivotTable6"/>
    <pivotTable tabId="6" name="PivotTable7"/>
    <pivotTable tabId="6" name="PivotTable8"/>
    <pivotTable tabId="6" name="PivotTable9"/>
    <pivotTable tabId="6" name="PivotTable2"/>
  </pivotTables>
  <data>
    <tabular pivotCacheId="1">
      <items count="14">
        <i x="1" s="1"/>
        <i x="2" s="1"/>
        <i x="3" s="1"/>
        <i x="4" s="1"/>
        <i x="5" s="1"/>
        <i x="6" s="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0000000-0014-0000-FFFF-FFFF04000000}" cache="Slicer_City" caption="City" rowHeight="241300"/>
  <slicer name="Category" xr10:uid="{00000000-0014-0000-FFFF-FFFF05000000}" cache="Slicer_Category" caption="Category" rowHeight="241300"/>
  <slicer name="TransactionDate" xr10:uid="{00000000-0014-0000-FFFF-FFFF06000000}" cache="Slicer_TransactionDate" caption="Transaction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00000000-0014-0000-FFFF-FFFF01000000}" cache="Slicer_City" caption="City" columnCount="2" rowHeight="241300"/>
  <slicer name="Category 1" xr10:uid="{00000000-0014-0000-FFFF-FFFF02000000}" cache="Slicer_Category" caption="Category" rowHeight="241300"/>
  <slicer name="TransactionDate 1" xr10:uid="{00000000-0014-0000-FFFF-FFFF03000000}" cache="Slicer_TransactionDate" caption="TransactionDate" columnCoun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TechBridge_Task_8_Dataset" displayName="Table_TechBridge_Task_8_Dataset" ref="A2:D22" tableType="queryTable" totalsRowShown="0" headerRowDxfId="137">
  <autoFilter ref="A2:D22" xr:uid="{00000000-0009-0000-0100-000001000000}"/>
  <tableColumns count="4">
    <tableColumn id="1" xr3:uid="{00000000-0010-0000-0000-000001000000}" uniqueName="1" name="CustomerID" queryTableFieldId="1"/>
    <tableColumn id="2" xr3:uid="{00000000-0010-0000-0000-000002000000}" uniqueName="2" name="CustomerName" queryTableFieldId="2"/>
    <tableColumn id="3" xr3:uid="{00000000-0010-0000-0000-000003000000}" uniqueName="3" name="City" queryTableFieldId="3"/>
    <tableColumn id="4" xr3:uid="{00000000-0010-0000-0000-000004000000}" uniqueName="4" name="CustomerType" queryTableField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TechBridge_Task_8_Dataset_1" displayName="Table_TechBridge_Task_8_Dataset_1" ref="F2:I12" tableType="queryTable" totalsRowShown="0">
  <autoFilter ref="F2:I12" xr:uid="{00000000-0009-0000-0100-000002000000}"/>
  <tableColumns count="4">
    <tableColumn id="1" xr3:uid="{00000000-0010-0000-0100-000001000000}" uniqueName="1" name="ProductID" queryTableFieldId="1"/>
    <tableColumn id="2" xr3:uid="{00000000-0010-0000-0100-000002000000}" uniqueName="2" name="ProductName" queryTableFieldId="2"/>
    <tableColumn id="3" xr3:uid="{00000000-0010-0000-0100-000003000000}" uniqueName="3" name="Category" queryTableFieldId="3"/>
    <tableColumn id="4" xr3:uid="{00000000-0010-0000-0100-000004000000}" uniqueName="4" name="UnitPrice" queryTableFieldId="4" dataDxfId="13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TechBridge_Task_8_Dataset_2" displayName="Table_TechBridge_Task_8_Dataset_2" ref="K2:P152" tableType="queryTable" totalsRowShown="0">
  <autoFilter ref="K2:P152" xr:uid="{00000000-0009-0000-0100-000003000000}"/>
  <tableColumns count="6">
    <tableColumn id="1" xr3:uid="{00000000-0010-0000-0200-000001000000}" uniqueName="1" name="TransactionID" queryTableFieldId="1"/>
    <tableColumn id="2" xr3:uid="{00000000-0010-0000-0200-000002000000}" uniqueName="2" name="CustomerID" queryTableFieldId="2"/>
    <tableColumn id="3" xr3:uid="{00000000-0010-0000-0200-000003000000}" uniqueName="3" name="ProductID" queryTableFieldId="3"/>
    <tableColumn id="4" xr3:uid="{00000000-0010-0000-0200-000004000000}" uniqueName="4" name="TransactionDate" queryTableFieldId="4" dataDxfId="135"/>
    <tableColumn id="5" xr3:uid="{00000000-0010-0000-0200-000005000000}" uniqueName="5" name="Quantity" queryTableFieldId="5" dataDxfId="134"/>
    <tableColumn id="6" xr3:uid="{00000000-0010-0000-0200-000006000000}" uniqueName="6" name="Discount" queryTableFieldId="6" dataDxfId="13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TechBridge_Task_8_Dataset_25" displayName="Table_TechBridge_Task_8_Dataset_25" ref="A2:M150" tableType="queryTable" totalsRowShown="0">
  <autoFilter ref="A2:M150" xr:uid="{00000000-0009-0000-0100-000004000000}"/>
  <tableColumns count="13">
    <tableColumn id="1" xr3:uid="{00000000-0010-0000-0300-000001000000}" uniqueName="1" name="TransactionID" queryTableFieldId="1"/>
    <tableColumn id="2" xr3:uid="{00000000-0010-0000-0300-000002000000}" uniqueName="2" name="CustomerID" queryTableFieldId="2"/>
    <tableColumn id="14" xr3:uid="{00000000-0010-0000-0300-00000E000000}" uniqueName="14" name="CustomerName" queryTableFieldId="7">
      <calculatedColumnFormula>VLOOKUP(B3,Table_TechBridge_Task_8_Dataset[#All],2,FALSE)</calculatedColumnFormula>
    </tableColumn>
    <tableColumn id="15" xr3:uid="{00000000-0010-0000-0300-00000F000000}" uniqueName="15" name="City" queryTableFieldId="8">
      <calculatedColumnFormula>VLOOKUP(B3,Table_TechBridge_Task_8_Dataset[#All],3,FALSE)</calculatedColumnFormula>
    </tableColumn>
    <tableColumn id="16" xr3:uid="{00000000-0010-0000-0300-000010000000}" uniqueName="16" name="CustomerType" queryTableFieldId="9">
      <calculatedColumnFormula>VLOOKUP(B3,Table_TechBridge_Task_8_Dataset[#All],4,FALSE)</calculatedColumnFormula>
    </tableColumn>
    <tableColumn id="18" xr3:uid="{00000000-0010-0000-0300-000012000000}" uniqueName="18" name="ProductID" queryTableFieldId="3"/>
    <tableColumn id="17" xr3:uid="{00000000-0010-0000-0300-000011000000}" uniqueName="17" name="ProductName" queryTableFieldId="10" dataDxfId="132">
      <calculatedColumnFormula>VLOOKUP(F3,Table_TechBridge_Task_8_Dataset_1[#All],2,FALSE)</calculatedColumnFormula>
    </tableColumn>
    <tableColumn id="3" xr3:uid="{00000000-0010-0000-0300-000003000000}" uniqueName="3" name="Category" queryTableFieldId="11" dataDxfId="131">
      <calculatedColumnFormula>VLOOKUP(F3,Table_TechBridge_Task_8_Dataset_1[#All],3,FALSE)</calculatedColumnFormula>
    </tableColumn>
    <tableColumn id="19" xr3:uid="{00000000-0010-0000-0300-000013000000}" uniqueName="19" name="Quantity" queryTableFieldId="5" dataDxfId="130"/>
    <tableColumn id="21" xr3:uid="{00000000-0010-0000-0300-000015000000}" uniqueName="21" name="UnitPrice" queryTableFieldId="12" dataDxfId="129">
      <calculatedColumnFormula>VLOOKUP(F3,Table_TechBridge_Task_8_Dataset_1[#All],4,FALSE)</calculatedColumnFormula>
    </tableColumn>
    <tableColumn id="20" xr3:uid="{00000000-0010-0000-0300-000014000000}" uniqueName="20" name="Discount" queryTableFieldId="6" dataDxfId="128"/>
    <tableColumn id="4" xr3:uid="{00000000-0010-0000-0300-000004000000}" uniqueName="4" name="TransactionDate" queryTableFieldId="4" dataDxfId="127"/>
    <tableColumn id="22" xr3:uid="{00000000-0010-0000-0300-000016000000}" uniqueName="22" name="SalesAmount" queryTableFieldId="21" dataDxfId="126">
      <calculatedColumnFormula>(I3*J3)*(1 - K3)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3.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election sqref="A1:D21"/>
    </sheetView>
  </sheetViews>
  <sheetFormatPr defaultColWidth="14.42578125" defaultRowHeight="15" customHeight="1" x14ac:dyDescent="0.25"/>
  <cols>
    <col min="1" max="26" width="8.7109375" customWidth="1"/>
  </cols>
  <sheetData>
    <row r="1" spans="1:4" x14ac:dyDescent="0.25">
      <c r="A1" s="1" t="s">
        <v>0</v>
      </c>
      <c r="B1" s="1" t="s">
        <v>1</v>
      </c>
      <c r="C1" s="1" t="s">
        <v>2</v>
      </c>
      <c r="D1" s="1" t="s">
        <v>3</v>
      </c>
    </row>
    <row r="2" spans="1:4" x14ac:dyDescent="0.25">
      <c r="A2" s="2" t="s">
        <v>4</v>
      </c>
      <c r="B2" s="2" t="s">
        <v>5</v>
      </c>
      <c r="C2" s="2" t="s">
        <v>6</v>
      </c>
      <c r="D2" s="2" t="s">
        <v>7</v>
      </c>
    </row>
    <row r="3" spans="1:4" x14ac:dyDescent="0.25">
      <c r="A3" s="2" t="s">
        <v>8</v>
      </c>
      <c r="B3" s="2" t="s">
        <v>9</v>
      </c>
      <c r="C3" s="2" t="s">
        <v>10</v>
      </c>
      <c r="D3" s="2" t="s">
        <v>11</v>
      </c>
    </row>
    <row r="4" spans="1:4" x14ac:dyDescent="0.25">
      <c r="A4" s="2" t="s">
        <v>12</v>
      </c>
      <c r="B4" s="2" t="s">
        <v>13</v>
      </c>
      <c r="C4" s="2" t="s">
        <v>14</v>
      </c>
      <c r="D4" s="2" t="s">
        <v>7</v>
      </c>
    </row>
    <row r="5" spans="1:4" x14ac:dyDescent="0.25">
      <c r="A5" s="2" t="s">
        <v>15</v>
      </c>
      <c r="B5" s="2" t="s">
        <v>16</v>
      </c>
      <c r="C5" s="2" t="s">
        <v>17</v>
      </c>
      <c r="D5" s="2" t="s">
        <v>11</v>
      </c>
    </row>
    <row r="6" spans="1:4" x14ac:dyDescent="0.25">
      <c r="A6" s="2" t="s">
        <v>18</v>
      </c>
      <c r="B6" s="2" t="s">
        <v>19</v>
      </c>
      <c r="C6" s="2" t="s">
        <v>20</v>
      </c>
      <c r="D6" s="2" t="s">
        <v>7</v>
      </c>
    </row>
    <row r="7" spans="1:4" x14ac:dyDescent="0.25">
      <c r="A7" s="2" t="s">
        <v>21</v>
      </c>
      <c r="B7" s="2" t="s">
        <v>22</v>
      </c>
      <c r="C7" s="2" t="s">
        <v>23</v>
      </c>
      <c r="D7" s="2" t="s">
        <v>24</v>
      </c>
    </row>
    <row r="8" spans="1:4" x14ac:dyDescent="0.25">
      <c r="A8" s="2" t="s">
        <v>25</v>
      </c>
      <c r="B8" s="2" t="s">
        <v>26</v>
      </c>
      <c r="C8" s="2" t="s">
        <v>27</v>
      </c>
      <c r="D8" s="2" t="s">
        <v>7</v>
      </c>
    </row>
    <row r="9" spans="1:4" x14ac:dyDescent="0.25">
      <c r="A9" s="2" t="s">
        <v>28</v>
      </c>
      <c r="B9" s="2" t="s">
        <v>29</v>
      </c>
      <c r="C9" s="2" t="s">
        <v>30</v>
      </c>
      <c r="D9" s="2" t="s">
        <v>11</v>
      </c>
    </row>
    <row r="10" spans="1:4" x14ac:dyDescent="0.25">
      <c r="A10" s="2" t="s">
        <v>31</v>
      </c>
      <c r="B10" s="2" t="s">
        <v>32</v>
      </c>
      <c r="C10" s="2" t="s">
        <v>6</v>
      </c>
      <c r="D10" s="2" t="s">
        <v>24</v>
      </c>
    </row>
    <row r="11" spans="1:4" x14ac:dyDescent="0.25">
      <c r="A11" s="2" t="s">
        <v>33</v>
      </c>
      <c r="B11" s="2" t="s">
        <v>34</v>
      </c>
      <c r="C11" s="2" t="s">
        <v>10</v>
      </c>
      <c r="D11" s="2" t="s">
        <v>7</v>
      </c>
    </row>
    <row r="12" spans="1:4" x14ac:dyDescent="0.25">
      <c r="A12" s="2" t="s">
        <v>35</v>
      </c>
      <c r="B12" s="2" t="s">
        <v>36</v>
      </c>
      <c r="C12" s="2" t="s">
        <v>37</v>
      </c>
      <c r="D12" s="2" t="s">
        <v>7</v>
      </c>
    </row>
    <row r="13" spans="1:4" x14ac:dyDescent="0.25">
      <c r="A13" s="2" t="s">
        <v>38</v>
      </c>
      <c r="B13" s="2" t="s">
        <v>39</v>
      </c>
      <c r="C13" s="2" t="s">
        <v>40</v>
      </c>
      <c r="D13" s="2" t="s">
        <v>11</v>
      </c>
    </row>
    <row r="14" spans="1:4" x14ac:dyDescent="0.25">
      <c r="A14" s="2" t="s">
        <v>41</v>
      </c>
      <c r="B14" s="2" t="s">
        <v>42</v>
      </c>
      <c r="C14" s="2" t="s">
        <v>43</v>
      </c>
      <c r="D14" s="2" t="s">
        <v>7</v>
      </c>
    </row>
    <row r="15" spans="1:4" x14ac:dyDescent="0.25">
      <c r="A15" s="2" t="s">
        <v>44</v>
      </c>
      <c r="B15" s="2" t="s">
        <v>45</v>
      </c>
      <c r="C15" s="2" t="s">
        <v>46</v>
      </c>
      <c r="D15" s="2" t="s">
        <v>24</v>
      </c>
    </row>
    <row r="16" spans="1:4" x14ac:dyDescent="0.25">
      <c r="A16" s="2" t="s">
        <v>47</v>
      </c>
      <c r="B16" s="2" t="s">
        <v>48</v>
      </c>
      <c r="C16" s="2" t="s">
        <v>6</v>
      </c>
      <c r="D16" s="2" t="s">
        <v>11</v>
      </c>
    </row>
    <row r="17" spans="1:4" x14ac:dyDescent="0.25">
      <c r="A17" s="2" t="s">
        <v>49</v>
      </c>
      <c r="B17" s="2" t="s">
        <v>50</v>
      </c>
      <c r="C17" s="2" t="s">
        <v>51</v>
      </c>
      <c r="D17" s="2" t="s">
        <v>7</v>
      </c>
    </row>
    <row r="18" spans="1:4" x14ac:dyDescent="0.25">
      <c r="A18" s="2" t="s">
        <v>52</v>
      </c>
      <c r="B18" s="2" t="s">
        <v>53</v>
      </c>
      <c r="C18" s="2" t="s">
        <v>14</v>
      </c>
      <c r="D18" s="2" t="s">
        <v>11</v>
      </c>
    </row>
    <row r="19" spans="1:4" x14ac:dyDescent="0.25">
      <c r="A19" s="2" t="s">
        <v>54</v>
      </c>
      <c r="B19" s="2" t="s">
        <v>55</v>
      </c>
      <c r="C19" s="2" t="s">
        <v>17</v>
      </c>
      <c r="D19" s="2" t="s">
        <v>7</v>
      </c>
    </row>
    <row r="20" spans="1:4" x14ac:dyDescent="0.25">
      <c r="A20" s="2" t="s">
        <v>56</v>
      </c>
      <c r="B20" s="2" t="s">
        <v>57</v>
      </c>
      <c r="C20" s="2" t="s">
        <v>20</v>
      </c>
      <c r="D20" s="2" t="s">
        <v>24</v>
      </c>
    </row>
    <row r="21" spans="1:4" ht="15.75" customHeight="1" x14ac:dyDescent="0.25">
      <c r="A21" s="2" t="s">
        <v>58</v>
      </c>
      <c r="B21" s="2" t="s">
        <v>59</v>
      </c>
      <c r="C21" s="2" t="s">
        <v>23</v>
      </c>
      <c r="D21" s="2" t="s">
        <v>11</v>
      </c>
    </row>
    <row r="22" spans="1:4" ht="15.75" customHeight="1" x14ac:dyDescent="0.25"/>
    <row r="23" spans="1:4" ht="15.75" customHeight="1" x14ac:dyDescent="0.25"/>
    <row r="24" spans="1:4" ht="15.75" customHeight="1" x14ac:dyDescent="0.25"/>
    <row r="25" spans="1:4" ht="15.75" customHeight="1" x14ac:dyDescent="0.25"/>
    <row r="26" spans="1:4" ht="15.75" customHeight="1" x14ac:dyDescent="0.25"/>
    <row r="27" spans="1:4" ht="15.75" customHeight="1" x14ac:dyDescent="0.25"/>
    <row r="28" spans="1:4" ht="15.75" customHeight="1" x14ac:dyDescent="0.25"/>
    <row r="29" spans="1:4" ht="15.75" customHeight="1" x14ac:dyDescent="0.25"/>
    <row r="30" spans="1:4" ht="15.75" customHeight="1" x14ac:dyDescent="0.25"/>
    <row r="31" spans="1:4" ht="15.75" customHeight="1" x14ac:dyDescent="0.25"/>
    <row r="32" spans="1: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election activeCell="B1" sqref="B1"/>
    </sheetView>
  </sheetViews>
  <sheetFormatPr defaultColWidth="14.42578125" defaultRowHeight="15" customHeight="1" x14ac:dyDescent="0.25"/>
  <cols>
    <col min="1" max="26" width="8.7109375" customWidth="1"/>
  </cols>
  <sheetData>
    <row r="1" spans="1:4" x14ac:dyDescent="0.25">
      <c r="A1" s="1" t="s">
        <v>60</v>
      </c>
      <c r="B1" s="1" t="s">
        <v>61</v>
      </c>
      <c r="C1" s="1" t="s">
        <v>62</v>
      </c>
      <c r="D1" s="1" t="s">
        <v>63</v>
      </c>
    </row>
    <row r="2" spans="1:4" x14ac:dyDescent="0.25">
      <c r="A2" s="2" t="s">
        <v>64</v>
      </c>
      <c r="B2" s="2" t="s">
        <v>65</v>
      </c>
      <c r="C2" s="2" t="s">
        <v>66</v>
      </c>
      <c r="D2" s="2">
        <v>450000</v>
      </c>
    </row>
    <row r="3" spans="1:4" x14ac:dyDescent="0.25">
      <c r="A3" s="2" t="s">
        <v>67</v>
      </c>
      <c r="B3" s="2" t="s">
        <v>68</v>
      </c>
      <c r="C3" s="2" t="s">
        <v>66</v>
      </c>
      <c r="D3" s="2">
        <v>180000</v>
      </c>
    </row>
    <row r="4" spans="1:4" x14ac:dyDescent="0.25">
      <c r="A4" s="2" t="s">
        <v>69</v>
      </c>
      <c r="B4" s="2" t="s">
        <v>70</v>
      </c>
      <c r="C4" s="2" t="s">
        <v>71</v>
      </c>
      <c r="D4" s="2">
        <v>15000</v>
      </c>
    </row>
    <row r="5" spans="1:4" x14ac:dyDescent="0.25">
      <c r="A5" s="2" t="s">
        <v>72</v>
      </c>
      <c r="B5" s="2" t="s">
        <v>73</v>
      </c>
      <c r="C5" s="2" t="s">
        <v>71</v>
      </c>
      <c r="D5" s="2">
        <v>8000</v>
      </c>
    </row>
    <row r="6" spans="1:4" x14ac:dyDescent="0.25">
      <c r="A6" s="2" t="s">
        <v>74</v>
      </c>
      <c r="B6" s="2" t="s">
        <v>75</v>
      </c>
      <c r="C6" s="2" t="s">
        <v>76</v>
      </c>
      <c r="D6" s="2">
        <v>120000</v>
      </c>
    </row>
    <row r="7" spans="1:4" x14ac:dyDescent="0.25">
      <c r="A7" s="2" t="s">
        <v>77</v>
      </c>
      <c r="B7" s="2" t="s">
        <v>78</v>
      </c>
      <c r="C7" s="2" t="s">
        <v>79</v>
      </c>
      <c r="D7" s="2">
        <v>95000</v>
      </c>
    </row>
    <row r="8" spans="1:4" x14ac:dyDescent="0.25">
      <c r="A8" s="2" t="s">
        <v>80</v>
      </c>
      <c r="B8" s="2" t="s">
        <v>81</v>
      </c>
      <c r="C8" s="2" t="s">
        <v>79</v>
      </c>
      <c r="D8" s="2">
        <v>140000</v>
      </c>
    </row>
    <row r="9" spans="1:4" x14ac:dyDescent="0.25">
      <c r="A9" s="2" t="s">
        <v>82</v>
      </c>
      <c r="B9" s="2" t="s">
        <v>83</v>
      </c>
      <c r="C9" s="2" t="s">
        <v>71</v>
      </c>
      <c r="D9" s="2">
        <v>25000</v>
      </c>
    </row>
    <row r="10" spans="1:4" x14ac:dyDescent="0.25">
      <c r="A10" s="2" t="s">
        <v>84</v>
      </c>
      <c r="B10" s="2" t="s">
        <v>85</v>
      </c>
      <c r="C10" s="2" t="s">
        <v>66</v>
      </c>
      <c r="D10" s="2">
        <v>220000</v>
      </c>
    </row>
    <row r="11" spans="1:4" x14ac:dyDescent="0.25">
      <c r="A11" s="2" t="s">
        <v>86</v>
      </c>
      <c r="B11" s="2" t="s">
        <v>87</v>
      </c>
      <c r="C11" s="2" t="s">
        <v>66</v>
      </c>
      <c r="D11" s="2">
        <v>75000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opLeftCell="A128" workbookViewId="0">
      <selection activeCell="A2" sqref="A2:A151"/>
    </sheetView>
  </sheetViews>
  <sheetFormatPr defaultColWidth="14.42578125" defaultRowHeight="15" customHeight="1" x14ac:dyDescent="0.25"/>
  <cols>
    <col min="1" max="26" width="8.7109375" customWidth="1"/>
  </cols>
  <sheetData>
    <row r="1" spans="1:6" x14ac:dyDescent="0.25">
      <c r="A1" s="1" t="s">
        <v>88</v>
      </c>
      <c r="B1" s="1" t="s">
        <v>0</v>
      </c>
      <c r="C1" s="1" t="s">
        <v>60</v>
      </c>
      <c r="D1" s="1" t="s">
        <v>89</v>
      </c>
      <c r="E1" s="1" t="s">
        <v>90</v>
      </c>
      <c r="F1" s="1" t="s">
        <v>91</v>
      </c>
    </row>
    <row r="2" spans="1:6" x14ac:dyDescent="0.25">
      <c r="A2" s="2" t="s">
        <v>92</v>
      </c>
      <c r="B2" s="2" t="s">
        <v>28</v>
      </c>
      <c r="C2" s="2" t="s">
        <v>72</v>
      </c>
      <c r="D2" s="2" t="s">
        <v>93</v>
      </c>
      <c r="E2" s="2">
        <v>2</v>
      </c>
      <c r="F2" s="2">
        <v>0</v>
      </c>
    </row>
    <row r="3" spans="1:6" x14ac:dyDescent="0.25">
      <c r="A3" s="2" t="s">
        <v>94</v>
      </c>
      <c r="B3" s="2" t="s">
        <v>47</v>
      </c>
      <c r="C3" s="2" t="s">
        <v>80</v>
      </c>
      <c r="D3" s="2" t="s">
        <v>95</v>
      </c>
      <c r="E3" s="2">
        <v>3</v>
      </c>
      <c r="F3" s="2">
        <v>0</v>
      </c>
    </row>
    <row r="4" spans="1:6" x14ac:dyDescent="0.25">
      <c r="A4" s="2" t="s">
        <v>96</v>
      </c>
      <c r="B4" s="2" t="s">
        <v>8</v>
      </c>
      <c r="C4" s="2" t="s">
        <v>86</v>
      </c>
      <c r="D4" s="2" t="s">
        <v>97</v>
      </c>
      <c r="E4" s="2">
        <v>4</v>
      </c>
      <c r="F4" s="2">
        <v>0</v>
      </c>
    </row>
    <row r="5" spans="1:6" x14ac:dyDescent="0.25">
      <c r="A5" s="2" t="s">
        <v>98</v>
      </c>
      <c r="B5" s="2" t="s">
        <v>31</v>
      </c>
      <c r="C5" s="2" t="s">
        <v>69</v>
      </c>
      <c r="D5" s="2" t="s">
        <v>99</v>
      </c>
      <c r="E5" s="2">
        <v>5</v>
      </c>
      <c r="F5" s="2">
        <v>0</v>
      </c>
    </row>
    <row r="6" spans="1:6" x14ac:dyDescent="0.25">
      <c r="A6" s="2" t="s">
        <v>100</v>
      </c>
      <c r="B6" s="2" t="s">
        <v>49</v>
      </c>
      <c r="C6" s="2" t="s">
        <v>77</v>
      </c>
      <c r="D6" s="2" t="s">
        <v>101</v>
      </c>
      <c r="E6" s="2">
        <v>1</v>
      </c>
      <c r="F6" s="2">
        <v>0</v>
      </c>
    </row>
    <row r="7" spans="1:6" x14ac:dyDescent="0.25">
      <c r="A7" s="2" t="s">
        <v>102</v>
      </c>
      <c r="B7" s="2" t="s">
        <v>12</v>
      </c>
      <c r="C7" s="2" t="s">
        <v>84</v>
      </c>
      <c r="D7" s="2" t="s">
        <v>103</v>
      </c>
      <c r="E7" s="2">
        <v>2</v>
      </c>
      <c r="F7" s="2">
        <v>0</v>
      </c>
    </row>
    <row r="8" spans="1:6" x14ac:dyDescent="0.25">
      <c r="A8" s="2" t="s">
        <v>104</v>
      </c>
      <c r="B8" s="2" t="s">
        <v>33</v>
      </c>
      <c r="C8" s="2" t="s">
        <v>67</v>
      </c>
      <c r="D8" s="2" t="s">
        <v>105</v>
      </c>
      <c r="E8" s="2">
        <v>3</v>
      </c>
      <c r="F8" s="2">
        <v>0.05</v>
      </c>
    </row>
    <row r="9" spans="1:6" x14ac:dyDescent="0.25">
      <c r="A9" s="2" t="s">
        <v>106</v>
      </c>
      <c r="B9" s="2" t="s">
        <v>52</v>
      </c>
      <c r="C9" s="2" t="s">
        <v>74</v>
      </c>
      <c r="D9" s="2" t="s">
        <v>107</v>
      </c>
      <c r="E9" s="2">
        <v>4</v>
      </c>
      <c r="F9" s="2">
        <v>0</v>
      </c>
    </row>
    <row r="10" spans="1:6" x14ac:dyDescent="0.25">
      <c r="A10" s="2" t="s">
        <v>108</v>
      </c>
      <c r="B10" s="2" t="s">
        <v>15</v>
      </c>
      <c r="C10" s="2" t="s">
        <v>82</v>
      </c>
      <c r="D10" s="2" t="s">
        <v>109</v>
      </c>
      <c r="E10" s="2">
        <v>5</v>
      </c>
      <c r="F10" s="2">
        <v>0</v>
      </c>
    </row>
    <row r="11" spans="1:6" x14ac:dyDescent="0.25">
      <c r="A11" s="2" t="s">
        <v>110</v>
      </c>
      <c r="B11" s="2" t="s">
        <v>111</v>
      </c>
      <c r="C11" s="2" t="s">
        <v>64</v>
      </c>
      <c r="D11" s="2" t="s">
        <v>112</v>
      </c>
      <c r="E11" s="2">
        <v>1</v>
      </c>
      <c r="F11" s="2">
        <v>0</v>
      </c>
    </row>
    <row r="12" spans="1:6" x14ac:dyDescent="0.25">
      <c r="A12" s="2" t="s">
        <v>113</v>
      </c>
      <c r="B12" s="2" t="s">
        <v>54</v>
      </c>
      <c r="C12" s="2" t="s">
        <v>72</v>
      </c>
      <c r="D12" s="2" t="s">
        <v>114</v>
      </c>
      <c r="E12" s="2">
        <v>2</v>
      </c>
      <c r="F12" s="2">
        <v>0.1</v>
      </c>
    </row>
    <row r="13" spans="1:6" x14ac:dyDescent="0.25">
      <c r="A13" s="2" t="s">
        <v>115</v>
      </c>
      <c r="B13" s="2" t="s">
        <v>18</v>
      </c>
      <c r="C13" s="2" t="s">
        <v>80</v>
      </c>
      <c r="D13" s="2" t="s">
        <v>116</v>
      </c>
      <c r="E13" s="2">
        <v>3</v>
      </c>
      <c r="F13" s="2">
        <v>0</v>
      </c>
    </row>
    <row r="14" spans="1:6" x14ac:dyDescent="0.25">
      <c r="A14" s="2" t="s">
        <v>117</v>
      </c>
      <c r="B14" s="2" t="s">
        <v>38</v>
      </c>
      <c r="C14" s="2" t="s">
        <v>86</v>
      </c>
      <c r="D14" s="2" t="s">
        <v>118</v>
      </c>
      <c r="E14" s="2">
        <v>4</v>
      </c>
      <c r="F14" s="2">
        <v>0</v>
      </c>
    </row>
    <row r="15" spans="1:6" x14ac:dyDescent="0.25">
      <c r="A15" s="2" t="s">
        <v>119</v>
      </c>
      <c r="B15" s="2" t="s">
        <v>56</v>
      </c>
      <c r="C15" s="2" t="s">
        <v>69</v>
      </c>
      <c r="D15" s="2" t="s">
        <v>120</v>
      </c>
      <c r="E15" s="2">
        <v>5</v>
      </c>
      <c r="F15" s="2">
        <v>0.05</v>
      </c>
    </row>
    <row r="16" spans="1:6" x14ac:dyDescent="0.25">
      <c r="A16" s="2" t="s">
        <v>121</v>
      </c>
      <c r="B16" s="2" t="s">
        <v>21</v>
      </c>
      <c r="C16" s="2" t="s">
        <v>77</v>
      </c>
      <c r="D16" s="2" t="s">
        <v>122</v>
      </c>
      <c r="E16" s="2">
        <v>1</v>
      </c>
      <c r="F16" s="2">
        <v>0</v>
      </c>
    </row>
    <row r="17" spans="1:6" x14ac:dyDescent="0.25">
      <c r="A17" s="2" t="s">
        <v>123</v>
      </c>
      <c r="B17" s="2" t="s">
        <v>41</v>
      </c>
      <c r="C17" s="2" t="s">
        <v>84</v>
      </c>
      <c r="D17" s="2" t="s">
        <v>124</v>
      </c>
      <c r="E17" s="2">
        <v>2</v>
      </c>
      <c r="F17" s="2">
        <v>0</v>
      </c>
    </row>
    <row r="18" spans="1:6" x14ac:dyDescent="0.25">
      <c r="A18" s="2" t="s">
        <v>125</v>
      </c>
      <c r="B18" s="2" t="s">
        <v>58</v>
      </c>
      <c r="C18" s="2" t="s">
        <v>67</v>
      </c>
      <c r="D18" s="2" t="s">
        <v>126</v>
      </c>
      <c r="E18" s="2">
        <v>3</v>
      </c>
      <c r="F18" s="2">
        <v>0</v>
      </c>
    </row>
    <row r="19" spans="1:6" x14ac:dyDescent="0.25">
      <c r="A19" s="2" t="s">
        <v>127</v>
      </c>
      <c r="B19" s="2" t="s">
        <v>25</v>
      </c>
      <c r="C19" s="2" t="s">
        <v>74</v>
      </c>
      <c r="D19" s="2" t="s">
        <v>128</v>
      </c>
      <c r="E19" s="2">
        <v>4</v>
      </c>
      <c r="F19" s="2">
        <v>0</v>
      </c>
    </row>
    <row r="20" spans="1:6" x14ac:dyDescent="0.25">
      <c r="A20" s="2" t="s">
        <v>129</v>
      </c>
      <c r="B20" s="2" t="s">
        <v>44</v>
      </c>
      <c r="C20" s="2" t="s">
        <v>82</v>
      </c>
      <c r="D20" s="2" t="s">
        <v>130</v>
      </c>
      <c r="E20" s="2">
        <v>5</v>
      </c>
      <c r="F20" s="2">
        <v>0</v>
      </c>
    </row>
    <row r="21" spans="1:6" ht="15.75" customHeight="1" x14ac:dyDescent="0.25">
      <c r="A21" s="2" t="s">
        <v>131</v>
      </c>
      <c r="B21" s="2" t="s">
        <v>4</v>
      </c>
      <c r="C21" s="2" t="s">
        <v>64</v>
      </c>
      <c r="D21" s="2" t="s">
        <v>132</v>
      </c>
      <c r="E21" s="2">
        <v>1</v>
      </c>
      <c r="F21" s="2">
        <v>0</v>
      </c>
    </row>
    <row r="22" spans="1:6" ht="15.75" customHeight="1" x14ac:dyDescent="0.25">
      <c r="A22" s="2" t="s">
        <v>133</v>
      </c>
      <c r="B22" s="2" t="s">
        <v>28</v>
      </c>
      <c r="C22" s="2" t="s">
        <v>72</v>
      </c>
      <c r="D22" s="2" t="s">
        <v>134</v>
      </c>
      <c r="E22" s="2">
        <v>2</v>
      </c>
      <c r="F22" s="2">
        <v>0.05</v>
      </c>
    </row>
    <row r="23" spans="1:6" ht="15.75" customHeight="1" x14ac:dyDescent="0.25">
      <c r="A23" s="2" t="s">
        <v>135</v>
      </c>
      <c r="B23" s="2" t="s">
        <v>47</v>
      </c>
      <c r="C23" s="2" t="s">
        <v>80</v>
      </c>
      <c r="D23" s="2" t="s">
        <v>136</v>
      </c>
      <c r="E23" s="2">
        <v>3</v>
      </c>
      <c r="F23" s="2">
        <v>0.1</v>
      </c>
    </row>
    <row r="24" spans="1:6" ht="15.75" customHeight="1" x14ac:dyDescent="0.25">
      <c r="A24" s="2" t="s">
        <v>137</v>
      </c>
      <c r="B24" s="2" t="s">
        <v>8</v>
      </c>
      <c r="C24" s="2" t="s">
        <v>86</v>
      </c>
      <c r="D24" s="2" t="s">
        <v>138</v>
      </c>
      <c r="E24" s="2">
        <v>4</v>
      </c>
      <c r="F24" s="2">
        <v>0</v>
      </c>
    </row>
    <row r="25" spans="1:6" ht="15.75" customHeight="1" x14ac:dyDescent="0.25">
      <c r="A25" s="2" t="s">
        <v>139</v>
      </c>
      <c r="B25" s="2" t="s">
        <v>31</v>
      </c>
      <c r="C25" s="2" t="s">
        <v>69</v>
      </c>
      <c r="D25" s="2" t="s">
        <v>140</v>
      </c>
      <c r="E25" s="2">
        <v>5</v>
      </c>
      <c r="F25" s="2">
        <v>0</v>
      </c>
    </row>
    <row r="26" spans="1:6" ht="15.75" customHeight="1" x14ac:dyDescent="0.25">
      <c r="A26" s="2" t="s">
        <v>141</v>
      </c>
      <c r="B26" s="2" t="s">
        <v>49</v>
      </c>
      <c r="C26" s="2" t="s">
        <v>77</v>
      </c>
      <c r="D26" s="2" t="s">
        <v>142</v>
      </c>
      <c r="E26" s="2">
        <v>1</v>
      </c>
      <c r="F26" s="2">
        <v>0</v>
      </c>
    </row>
    <row r="27" spans="1:6" ht="15.75" customHeight="1" x14ac:dyDescent="0.25">
      <c r="A27" s="2" t="s">
        <v>143</v>
      </c>
      <c r="B27" s="2" t="s">
        <v>12</v>
      </c>
      <c r="C27" s="2" t="s">
        <v>84</v>
      </c>
      <c r="D27" s="2" t="s">
        <v>144</v>
      </c>
      <c r="E27" s="2">
        <v>2</v>
      </c>
      <c r="F27" s="2">
        <v>0</v>
      </c>
    </row>
    <row r="28" spans="1:6" ht="15.75" customHeight="1" x14ac:dyDescent="0.25">
      <c r="A28" s="2" t="s">
        <v>145</v>
      </c>
      <c r="B28" s="2" t="s">
        <v>33</v>
      </c>
      <c r="C28" s="2" t="s">
        <v>67</v>
      </c>
      <c r="D28" s="2" t="s">
        <v>146</v>
      </c>
      <c r="E28" s="2">
        <v>3</v>
      </c>
      <c r="F28" s="2">
        <v>0</v>
      </c>
    </row>
    <row r="29" spans="1:6" ht="15.75" customHeight="1" x14ac:dyDescent="0.25">
      <c r="A29" s="2" t="s">
        <v>147</v>
      </c>
      <c r="B29" s="2" t="s">
        <v>52</v>
      </c>
      <c r="C29" s="2" t="s">
        <v>74</v>
      </c>
      <c r="D29" s="2" t="s">
        <v>148</v>
      </c>
      <c r="E29" s="2">
        <v>4</v>
      </c>
      <c r="F29" s="2">
        <v>0.05</v>
      </c>
    </row>
    <row r="30" spans="1:6" ht="15.75" customHeight="1" x14ac:dyDescent="0.25">
      <c r="A30" s="2" t="s">
        <v>149</v>
      </c>
      <c r="B30" s="2" t="s">
        <v>15</v>
      </c>
      <c r="C30" s="2" t="s">
        <v>82</v>
      </c>
      <c r="D30" s="2" t="s">
        <v>150</v>
      </c>
      <c r="E30" s="2">
        <v>5</v>
      </c>
      <c r="F30" s="2">
        <v>0</v>
      </c>
    </row>
    <row r="31" spans="1:6" ht="15.75" customHeight="1" x14ac:dyDescent="0.25">
      <c r="A31" s="2" t="s">
        <v>151</v>
      </c>
      <c r="B31" s="2" t="s">
        <v>35</v>
      </c>
      <c r="C31" s="2" t="s">
        <v>64</v>
      </c>
      <c r="D31" s="2" t="s">
        <v>152</v>
      </c>
      <c r="E31" s="2">
        <v>1</v>
      </c>
      <c r="F31" s="2">
        <v>0</v>
      </c>
    </row>
    <row r="32" spans="1:6" ht="15.75" customHeight="1" x14ac:dyDescent="0.25">
      <c r="A32" s="2" t="s">
        <v>153</v>
      </c>
      <c r="B32" s="2" t="s">
        <v>54</v>
      </c>
      <c r="C32" s="2" t="s">
        <v>72</v>
      </c>
      <c r="D32" s="2" t="s">
        <v>154</v>
      </c>
      <c r="E32" s="2">
        <v>2</v>
      </c>
      <c r="F32" s="2">
        <v>0</v>
      </c>
    </row>
    <row r="33" spans="1:6" ht="15.75" customHeight="1" x14ac:dyDescent="0.25">
      <c r="A33" s="2" t="s">
        <v>155</v>
      </c>
      <c r="B33" s="2" t="s">
        <v>18</v>
      </c>
      <c r="C33" s="2" t="s">
        <v>80</v>
      </c>
      <c r="D33" s="2" t="s">
        <v>156</v>
      </c>
      <c r="E33" s="2">
        <v>3</v>
      </c>
      <c r="F33" s="2">
        <v>0</v>
      </c>
    </row>
    <row r="34" spans="1:6" ht="15.75" customHeight="1" x14ac:dyDescent="0.25">
      <c r="A34" s="2" t="s">
        <v>157</v>
      </c>
      <c r="B34" s="2" t="s">
        <v>38</v>
      </c>
      <c r="C34" s="2" t="s">
        <v>86</v>
      </c>
      <c r="D34" s="2" t="s">
        <v>158</v>
      </c>
      <c r="E34" s="2">
        <v>4</v>
      </c>
      <c r="F34" s="2">
        <v>0.1</v>
      </c>
    </row>
    <row r="35" spans="1:6" ht="15.75" customHeight="1" x14ac:dyDescent="0.25">
      <c r="A35" s="2" t="s">
        <v>159</v>
      </c>
      <c r="B35" s="2" t="s">
        <v>56</v>
      </c>
      <c r="C35" s="2" t="s">
        <v>69</v>
      </c>
      <c r="D35" s="2" t="s">
        <v>160</v>
      </c>
      <c r="E35" s="2">
        <v>5</v>
      </c>
      <c r="F35" s="2">
        <v>0</v>
      </c>
    </row>
    <row r="36" spans="1:6" ht="15.75" customHeight="1" x14ac:dyDescent="0.25">
      <c r="A36" s="2" t="s">
        <v>161</v>
      </c>
      <c r="B36" s="2" t="s">
        <v>21</v>
      </c>
      <c r="C36" s="2" t="s">
        <v>77</v>
      </c>
      <c r="D36" s="2" t="s">
        <v>162</v>
      </c>
      <c r="E36" s="2">
        <v>1</v>
      </c>
      <c r="F36" s="2">
        <v>0.05</v>
      </c>
    </row>
    <row r="37" spans="1:6" ht="15.75" customHeight="1" x14ac:dyDescent="0.25">
      <c r="A37" s="2" t="s">
        <v>163</v>
      </c>
      <c r="B37" s="2" t="s">
        <v>41</v>
      </c>
      <c r="C37" s="2" t="s">
        <v>84</v>
      </c>
      <c r="D37" s="2" t="s">
        <v>164</v>
      </c>
      <c r="E37" s="2">
        <v>2</v>
      </c>
      <c r="F37" s="2">
        <v>0</v>
      </c>
    </row>
    <row r="38" spans="1:6" ht="15.75" customHeight="1" x14ac:dyDescent="0.25">
      <c r="A38" s="2" t="s">
        <v>165</v>
      </c>
      <c r="B38" s="2" t="s">
        <v>58</v>
      </c>
      <c r="C38" s="2" t="s">
        <v>67</v>
      </c>
      <c r="D38" s="2" t="s">
        <v>166</v>
      </c>
      <c r="E38" s="2">
        <v>3</v>
      </c>
      <c r="F38" s="2">
        <v>0</v>
      </c>
    </row>
    <row r="39" spans="1:6" ht="15.75" customHeight="1" x14ac:dyDescent="0.25">
      <c r="A39" s="2" t="s">
        <v>167</v>
      </c>
      <c r="B39" s="2" t="s">
        <v>25</v>
      </c>
      <c r="C39" s="2" t="s">
        <v>74</v>
      </c>
      <c r="D39" s="2" t="s">
        <v>168</v>
      </c>
      <c r="E39" s="2">
        <v>4</v>
      </c>
      <c r="F39" s="2">
        <v>0</v>
      </c>
    </row>
    <row r="40" spans="1:6" ht="15.75" customHeight="1" x14ac:dyDescent="0.25">
      <c r="A40" s="2" t="s">
        <v>169</v>
      </c>
      <c r="B40" s="2" t="s">
        <v>44</v>
      </c>
      <c r="C40" s="2" t="s">
        <v>82</v>
      </c>
      <c r="D40" s="2" t="s">
        <v>170</v>
      </c>
      <c r="E40" s="2">
        <v>5</v>
      </c>
      <c r="F40" s="2">
        <v>0</v>
      </c>
    </row>
    <row r="41" spans="1:6" ht="15.75" customHeight="1" x14ac:dyDescent="0.25">
      <c r="A41" s="2" t="s">
        <v>171</v>
      </c>
      <c r="B41" s="2" t="s">
        <v>172</v>
      </c>
      <c r="C41" s="2" t="s">
        <v>64</v>
      </c>
      <c r="D41" s="2" t="s">
        <v>173</v>
      </c>
      <c r="E41" s="2">
        <v>1</v>
      </c>
      <c r="F41" s="2">
        <v>0</v>
      </c>
    </row>
    <row r="42" spans="1:6" ht="15.75" customHeight="1" x14ac:dyDescent="0.25">
      <c r="A42" s="2" t="s">
        <v>174</v>
      </c>
      <c r="B42" s="2" t="s">
        <v>28</v>
      </c>
      <c r="C42" s="2" t="s">
        <v>72</v>
      </c>
      <c r="D42" s="2" t="s">
        <v>175</v>
      </c>
      <c r="E42" s="2">
        <v>2</v>
      </c>
      <c r="F42" s="2">
        <v>0</v>
      </c>
    </row>
    <row r="43" spans="1:6" ht="15.75" customHeight="1" x14ac:dyDescent="0.25">
      <c r="A43" s="2" t="s">
        <v>176</v>
      </c>
      <c r="B43" s="2" t="s">
        <v>47</v>
      </c>
      <c r="C43" s="2" t="s">
        <v>80</v>
      </c>
      <c r="D43" s="2" t="s">
        <v>177</v>
      </c>
      <c r="E43" s="2">
        <v>3</v>
      </c>
      <c r="F43" s="2">
        <v>0.05</v>
      </c>
    </row>
    <row r="44" spans="1:6" ht="15.75" customHeight="1" x14ac:dyDescent="0.25">
      <c r="A44" s="2" t="s">
        <v>178</v>
      </c>
      <c r="B44" s="2" t="s">
        <v>8</v>
      </c>
      <c r="C44" s="2" t="s">
        <v>86</v>
      </c>
      <c r="D44" s="2" t="s">
        <v>179</v>
      </c>
      <c r="E44" s="2">
        <v>4</v>
      </c>
      <c r="F44" s="2">
        <v>0</v>
      </c>
    </row>
    <row r="45" spans="1:6" ht="15.75" customHeight="1" x14ac:dyDescent="0.25">
      <c r="A45" s="2" t="s">
        <v>180</v>
      </c>
      <c r="B45" s="2" t="s">
        <v>31</v>
      </c>
      <c r="C45" s="2" t="s">
        <v>69</v>
      </c>
      <c r="D45" s="2" t="s">
        <v>181</v>
      </c>
      <c r="E45" s="2">
        <v>5</v>
      </c>
      <c r="F45" s="2">
        <v>0.1</v>
      </c>
    </row>
    <row r="46" spans="1:6" ht="15.75" customHeight="1" x14ac:dyDescent="0.25">
      <c r="A46" s="2" t="s">
        <v>182</v>
      </c>
      <c r="B46" s="2" t="s">
        <v>49</v>
      </c>
      <c r="C46" s="2" t="s">
        <v>77</v>
      </c>
      <c r="D46" s="2" t="s">
        <v>183</v>
      </c>
      <c r="E46" s="2">
        <v>1</v>
      </c>
      <c r="F46" s="2">
        <v>0</v>
      </c>
    </row>
    <row r="47" spans="1:6" ht="15.75" customHeight="1" x14ac:dyDescent="0.25">
      <c r="A47" s="2" t="s">
        <v>184</v>
      </c>
      <c r="B47" s="2" t="s">
        <v>12</v>
      </c>
      <c r="C47" s="2" t="s">
        <v>84</v>
      </c>
      <c r="D47" s="2" t="s">
        <v>185</v>
      </c>
      <c r="E47" s="2">
        <v>2</v>
      </c>
      <c r="F47" s="2">
        <v>0</v>
      </c>
    </row>
    <row r="48" spans="1:6" ht="15.75" customHeight="1" x14ac:dyDescent="0.25">
      <c r="A48" s="2" t="s">
        <v>186</v>
      </c>
      <c r="B48" s="2" t="s">
        <v>33</v>
      </c>
      <c r="C48" s="2" t="s">
        <v>67</v>
      </c>
      <c r="D48" s="2" t="s">
        <v>187</v>
      </c>
      <c r="E48" s="2">
        <v>3</v>
      </c>
      <c r="F48" s="2">
        <v>0</v>
      </c>
    </row>
    <row r="49" spans="1:6" ht="15.75" customHeight="1" x14ac:dyDescent="0.25">
      <c r="A49" s="2" t="s">
        <v>188</v>
      </c>
      <c r="B49" s="2" t="s">
        <v>52</v>
      </c>
      <c r="C49" s="2" t="s">
        <v>74</v>
      </c>
      <c r="D49" s="2" t="s">
        <v>189</v>
      </c>
      <c r="E49" s="2">
        <v>4</v>
      </c>
      <c r="F49" s="2">
        <v>0</v>
      </c>
    </row>
    <row r="50" spans="1:6" ht="15.75" customHeight="1" x14ac:dyDescent="0.25">
      <c r="A50" s="2" t="s">
        <v>190</v>
      </c>
      <c r="B50" s="2" t="s">
        <v>15</v>
      </c>
      <c r="C50" s="2" t="s">
        <v>82</v>
      </c>
      <c r="D50" s="2" t="s">
        <v>191</v>
      </c>
      <c r="E50" s="2">
        <v>5</v>
      </c>
      <c r="F50" s="2">
        <v>0.05</v>
      </c>
    </row>
    <row r="51" spans="1:6" ht="15.75" customHeight="1" x14ac:dyDescent="0.25">
      <c r="A51" s="2" t="s">
        <v>192</v>
      </c>
      <c r="B51" s="2" t="s">
        <v>35</v>
      </c>
      <c r="C51" s="2" t="s">
        <v>64</v>
      </c>
      <c r="D51" s="2" t="s">
        <v>193</v>
      </c>
      <c r="E51" s="2">
        <v>1</v>
      </c>
      <c r="F51" s="2">
        <v>0</v>
      </c>
    </row>
    <row r="52" spans="1:6" ht="15.75" customHeight="1" x14ac:dyDescent="0.25">
      <c r="A52" s="2" t="s">
        <v>194</v>
      </c>
      <c r="B52" s="2" t="s">
        <v>54</v>
      </c>
      <c r="C52" s="2" t="s">
        <v>72</v>
      </c>
      <c r="D52" s="2" t="s">
        <v>195</v>
      </c>
      <c r="E52" s="2">
        <v>2</v>
      </c>
      <c r="F52" s="2">
        <v>0</v>
      </c>
    </row>
    <row r="53" spans="1:6" ht="15.75" customHeight="1" x14ac:dyDescent="0.25">
      <c r="A53" s="2" t="s">
        <v>196</v>
      </c>
      <c r="B53" s="2" t="s">
        <v>18</v>
      </c>
      <c r="C53" s="2" t="s">
        <v>80</v>
      </c>
      <c r="D53" s="2" t="s">
        <v>197</v>
      </c>
      <c r="E53" s="2">
        <v>3</v>
      </c>
      <c r="F53" s="2">
        <v>0</v>
      </c>
    </row>
    <row r="54" spans="1:6" ht="15.75" customHeight="1" x14ac:dyDescent="0.25">
      <c r="A54" s="2" t="s">
        <v>198</v>
      </c>
      <c r="B54" s="2" t="s">
        <v>38</v>
      </c>
      <c r="C54" s="2" t="s">
        <v>86</v>
      </c>
      <c r="D54" s="2" t="s">
        <v>199</v>
      </c>
      <c r="E54" s="2">
        <v>4</v>
      </c>
      <c r="F54" s="2">
        <v>0</v>
      </c>
    </row>
    <row r="55" spans="1:6" ht="15.75" customHeight="1" x14ac:dyDescent="0.25">
      <c r="A55" s="2" t="s">
        <v>200</v>
      </c>
      <c r="B55" s="2" t="s">
        <v>56</v>
      </c>
      <c r="C55" s="2" t="s">
        <v>69</v>
      </c>
      <c r="D55" s="2" t="s">
        <v>201</v>
      </c>
      <c r="E55" s="2">
        <v>5</v>
      </c>
      <c r="F55" s="2">
        <v>0</v>
      </c>
    </row>
    <row r="56" spans="1:6" ht="15.75" customHeight="1" x14ac:dyDescent="0.25">
      <c r="A56" s="2" t="s">
        <v>202</v>
      </c>
      <c r="B56" s="2" t="s">
        <v>21</v>
      </c>
      <c r="C56" s="2" t="s">
        <v>77</v>
      </c>
      <c r="D56" s="2" t="s">
        <v>93</v>
      </c>
      <c r="E56" s="2">
        <v>1</v>
      </c>
      <c r="F56" s="2">
        <v>0.1</v>
      </c>
    </row>
    <row r="57" spans="1:6" ht="15.75" customHeight="1" x14ac:dyDescent="0.25">
      <c r="A57" s="2" t="s">
        <v>203</v>
      </c>
      <c r="B57" s="2" t="s">
        <v>41</v>
      </c>
      <c r="C57" s="2" t="s">
        <v>84</v>
      </c>
      <c r="D57" s="2" t="s">
        <v>95</v>
      </c>
      <c r="E57" s="2">
        <v>2</v>
      </c>
      <c r="F57" s="2">
        <v>0.05</v>
      </c>
    </row>
    <row r="58" spans="1:6" ht="15.75" customHeight="1" x14ac:dyDescent="0.25">
      <c r="A58" s="2" t="s">
        <v>204</v>
      </c>
      <c r="B58" s="2" t="s">
        <v>58</v>
      </c>
      <c r="C58" s="2" t="s">
        <v>67</v>
      </c>
      <c r="D58" s="2" t="s">
        <v>97</v>
      </c>
      <c r="E58" s="2">
        <v>3</v>
      </c>
      <c r="F58" s="2">
        <v>0</v>
      </c>
    </row>
    <row r="59" spans="1:6" ht="15.75" customHeight="1" x14ac:dyDescent="0.25">
      <c r="A59" s="2" t="s">
        <v>205</v>
      </c>
      <c r="B59" s="2" t="s">
        <v>25</v>
      </c>
      <c r="C59" s="2" t="s">
        <v>74</v>
      </c>
      <c r="D59" s="2" t="s">
        <v>99</v>
      </c>
      <c r="E59" s="2">
        <v>4</v>
      </c>
      <c r="F59" s="2">
        <v>0</v>
      </c>
    </row>
    <row r="60" spans="1:6" ht="15.75" customHeight="1" x14ac:dyDescent="0.25">
      <c r="A60" s="2" t="s">
        <v>206</v>
      </c>
      <c r="B60" s="2" t="s">
        <v>44</v>
      </c>
      <c r="C60" s="2" t="s">
        <v>82</v>
      </c>
      <c r="D60" s="2" t="s">
        <v>101</v>
      </c>
      <c r="E60" s="2">
        <v>5</v>
      </c>
      <c r="F60" s="2">
        <v>0</v>
      </c>
    </row>
    <row r="61" spans="1:6" ht="15.75" customHeight="1" x14ac:dyDescent="0.25">
      <c r="A61" s="2" t="s">
        <v>207</v>
      </c>
      <c r="B61" s="2" t="s">
        <v>4</v>
      </c>
      <c r="C61" s="2" t="s">
        <v>64</v>
      </c>
      <c r="D61" s="2" t="s">
        <v>103</v>
      </c>
      <c r="E61" s="2">
        <v>1</v>
      </c>
      <c r="F61" s="2">
        <v>0</v>
      </c>
    </row>
    <row r="62" spans="1:6" ht="15.75" customHeight="1" x14ac:dyDescent="0.25">
      <c r="A62" s="2" t="s">
        <v>208</v>
      </c>
      <c r="B62" s="2" t="s">
        <v>28</v>
      </c>
      <c r="C62" s="2" t="s">
        <v>72</v>
      </c>
      <c r="D62" s="2" t="s">
        <v>105</v>
      </c>
      <c r="E62" s="2">
        <v>2</v>
      </c>
      <c r="F62" s="2">
        <v>0</v>
      </c>
    </row>
    <row r="63" spans="1:6" ht="15.75" customHeight="1" x14ac:dyDescent="0.25">
      <c r="A63" s="2" t="s">
        <v>209</v>
      </c>
      <c r="B63" s="2" t="s">
        <v>47</v>
      </c>
      <c r="C63" s="2" t="s">
        <v>80</v>
      </c>
      <c r="D63" s="2" t="s">
        <v>107</v>
      </c>
      <c r="E63" s="2">
        <v>3</v>
      </c>
      <c r="F63" s="2">
        <v>0</v>
      </c>
    </row>
    <row r="64" spans="1:6" ht="15.75" customHeight="1" x14ac:dyDescent="0.25">
      <c r="A64" s="2" t="s">
        <v>210</v>
      </c>
      <c r="B64" s="2" t="s">
        <v>8</v>
      </c>
      <c r="C64" s="2" t="s">
        <v>86</v>
      </c>
      <c r="D64" s="2" t="s">
        <v>109</v>
      </c>
      <c r="E64" s="2">
        <v>4</v>
      </c>
      <c r="F64" s="2">
        <v>0.05</v>
      </c>
    </row>
    <row r="65" spans="1:6" ht="15.75" customHeight="1" x14ac:dyDescent="0.25">
      <c r="A65" s="2" t="s">
        <v>211</v>
      </c>
      <c r="B65" s="2" t="s">
        <v>31</v>
      </c>
      <c r="C65" s="2" t="s">
        <v>69</v>
      </c>
      <c r="D65" s="2" t="s">
        <v>112</v>
      </c>
      <c r="E65" s="2">
        <v>5</v>
      </c>
      <c r="F65" s="2">
        <v>0</v>
      </c>
    </row>
    <row r="66" spans="1:6" ht="15.75" customHeight="1" x14ac:dyDescent="0.25">
      <c r="A66" s="2" t="s">
        <v>212</v>
      </c>
      <c r="B66" s="2" t="s">
        <v>49</v>
      </c>
      <c r="C66" s="2" t="s">
        <v>77</v>
      </c>
      <c r="D66" s="2" t="s">
        <v>114</v>
      </c>
      <c r="E66" s="2">
        <v>1</v>
      </c>
      <c r="F66" s="2">
        <v>0</v>
      </c>
    </row>
    <row r="67" spans="1:6" ht="15.75" customHeight="1" x14ac:dyDescent="0.25">
      <c r="A67" s="2" t="s">
        <v>213</v>
      </c>
      <c r="B67" s="2" t="s">
        <v>12</v>
      </c>
      <c r="C67" s="2" t="s">
        <v>84</v>
      </c>
      <c r="D67" s="2" t="s">
        <v>116</v>
      </c>
      <c r="E67" s="2">
        <v>2</v>
      </c>
      <c r="F67" s="2">
        <v>0.1</v>
      </c>
    </row>
    <row r="68" spans="1:6" ht="15.75" customHeight="1" x14ac:dyDescent="0.25">
      <c r="A68" s="2" t="s">
        <v>214</v>
      </c>
      <c r="B68" s="2" t="s">
        <v>33</v>
      </c>
      <c r="C68" s="2" t="s">
        <v>67</v>
      </c>
      <c r="D68" s="2" t="s">
        <v>118</v>
      </c>
      <c r="E68" s="2">
        <v>3</v>
      </c>
      <c r="F68" s="2">
        <v>0</v>
      </c>
    </row>
    <row r="69" spans="1:6" ht="15.75" customHeight="1" x14ac:dyDescent="0.25">
      <c r="A69" s="2" t="s">
        <v>215</v>
      </c>
      <c r="B69" s="2" t="s">
        <v>52</v>
      </c>
      <c r="C69" s="2" t="s">
        <v>74</v>
      </c>
      <c r="D69" s="2" t="s">
        <v>120</v>
      </c>
      <c r="E69" s="2">
        <v>4</v>
      </c>
      <c r="F69" s="2">
        <v>0</v>
      </c>
    </row>
    <row r="70" spans="1:6" ht="15.75" customHeight="1" x14ac:dyDescent="0.25">
      <c r="A70" s="2" t="s">
        <v>216</v>
      </c>
      <c r="B70" s="2" t="s">
        <v>15</v>
      </c>
      <c r="C70" s="2" t="s">
        <v>82</v>
      </c>
      <c r="D70" s="2" t="s">
        <v>122</v>
      </c>
      <c r="E70" s="2">
        <v>5</v>
      </c>
      <c r="F70" s="2">
        <v>0</v>
      </c>
    </row>
    <row r="71" spans="1:6" ht="15.75" customHeight="1" x14ac:dyDescent="0.25">
      <c r="A71" s="2" t="s">
        <v>217</v>
      </c>
      <c r="B71" s="2" t="s">
        <v>35</v>
      </c>
      <c r="C71" s="2" t="s">
        <v>64</v>
      </c>
      <c r="D71" s="2" t="s">
        <v>124</v>
      </c>
      <c r="E71" s="2">
        <v>1</v>
      </c>
      <c r="F71" s="2">
        <v>0.05</v>
      </c>
    </row>
    <row r="72" spans="1:6" ht="15.75" customHeight="1" x14ac:dyDescent="0.25">
      <c r="A72" s="2" t="s">
        <v>218</v>
      </c>
      <c r="B72" s="2" t="s">
        <v>54</v>
      </c>
      <c r="C72" s="2" t="s">
        <v>72</v>
      </c>
      <c r="D72" s="2" t="s">
        <v>126</v>
      </c>
      <c r="E72" s="2">
        <v>2</v>
      </c>
      <c r="F72" s="2">
        <v>0</v>
      </c>
    </row>
    <row r="73" spans="1:6" ht="15.75" customHeight="1" x14ac:dyDescent="0.25">
      <c r="A73" s="2" t="s">
        <v>219</v>
      </c>
      <c r="B73" s="2" t="s">
        <v>18</v>
      </c>
      <c r="C73" s="2" t="s">
        <v>80</v>
      </c>
      <c r="D73" s="2" t="s">
        <v>128</v>
      </c>
      <c r="E73" s="2">
        <v>3</v>
      </c>
      <c r="F73" s="2">
        <v>0</v>
      </c>
    </row>
    <row r="74" spans="1:6" ht="15.75" customHeight="1" x14ac:dyDescent="0.25">
      <c r="A74" s="2" t="s">
        <v>220</v>
      </c>
      <c r="B74" s="2" t="s">
        <v>38</v>
      </c>
      <c r="C74" s="2" t="s">
        <v>86</v>
      </c>
      <c r="D74" s="2" t="s">
        <v>130</v>
      </c>
      <c r="E74" s="2">
        <v>4</v>
      </c>
      <c r="F74" s="2">
        <v>0</v>
      </c>
    </row>
    <row r="75" spans="1:6" ht="15.75" customHeight="1" x14ac:dyDescent="0.25">
      <c r="A75" s="2" t="s">
        <v>221</v>
      </c>
      <c r="B75" s="2" t="s">
        <v>56</v>
      </c>
      <c r="C75" s="2" t="s">
        <v>69</v>
      </c>
      <c r="D75" s="2" t="s">
        <v>132</v>
      </c>
      <c r="E75" s="2">
        <v>5</v>
      </c>
      <c r="F75" s="2">
        <v>0</v>
      </c>
    </row>
    <row r="76" spans="1:6" ht="15.75" customHeight="1" x14ac:dyDescent="0.25">
      <c r="A76" s="2" t="s">
        <v>222</v>
      </c>
      <c r="B76" s="2" t="s">
        <v>21</v>
      </c>
      <c r="C76" s="2" t="s">
        <v>77</v>
      </c>
      <c r="D76" s="2" t="s">
        <v>134</v>
      </c>
      <c r="E76" s="2">
        <v>1</v>
      </c>
      <c r="F76" s="2">
        <v>0</v>
      </c>
    </row>
    <row r="77" spans="1:6" ht="15.75" customHeight="1" x14ac:dyDescent="0.25">
      <c r="A77" s="2" t="s">
        <v>223</v>
      </c>
      <c r="B77" s="2" t="s">
        <v>41</v>
      </c>
      <c r="C77" s="2" t="s">
        <v>84</v>
      </c>
      <c r="D77" s="2" t="s">
        <v>136</v>
      </c>
      <c r="E77" s="2">
        <v>2</v>
      </c>
      <c r="F77" s="2">
        <v>0</v>
      </c>
    </row>
    <row r="78" spans="1:6" ht="15.75" customHeight="1" x14ac:dyDescent="0.25">
      <c r="A78" s="2" t="s">
        <v>224</v>
      </c>
      <c r="B78" s="2" t="s">
        <v>58</v>
      </c>
      <c r="C78" s="2" t="s">
        <v>67</v>
      </c>
      <c r="D78" s="2" t="s">
        <v>138</v>
      </c>
      <c r="E78" s="2">
        <v>3</v>
      </c>
      <c r="F78" s="2">
        <v>0.1</v>
      </c>
    </row>
    <row r="79" spans="1:6" ht="15.75" customHeight="1" x14ac:dyDescent="0.25">
      <c r="A79" s="2" t="s">
        <v>225</v>
      </c>
      <c r="B79" s="2" t="s">
        <v>25</v>
      </c>
      <c r="C79" s="2" t="s">
        <v>74</v>
      </c>
      <c r="D79" s="2" t="s">
        <v>140</v>
      </c>
      <c r="E79" s="2">
        <v>4</v>
      </c>
      <c r="F79" s="2">
        <v>0</v>
      </c>
    </row>
    <row r="80" spans="1:6" ht="15.75" customHeight="1" x14ac:dyDescent="0.25">
      <c r="A80" s="2" t="s">
        <v>226</v>
      </c>
      <c r="B80" s="2" t="s">
        <v>44</v>
      </c>
      <c r="C80" s="2" t="s">
        <v>82</v>
      </c>
      <c r="D80" s="2" t="s">
        <v>142</v>
      </c>
      <c r="E80" s="2">
        <v>5</v>
      </c>
      <c r="F80" s="2">
        <v>0</v>
      </c>
    </row>
    <row r="81" spans="1:6" ht="15.75" customHeight="1" x14ac:dyDescent="0.25">
      <c r="A81" s="2" t="s">
        <v>227</v>
      </c>
      <c r="B81" s="2" t="s">
        <v>4</v>
      </c>
      <c r="C81" s="2" t="s">
        <v>228</v>
      </c>
      <c r="D81" s="2" t="s">
        <v>144</v>
      </c>
      <c r="E81" s="2">
        <v>1</v>
      </c>
      <c r="F81" s="2">
        <v>0</v>
      </c>
    </row>
    <row r="82" spans="1:6" ht="15.75" customHeight="1" x14ac:dyDescent="0.25">
      <c r="A82" s="2" t="s">
        <v>229</v>
      </c>
      <c r="B82" s="2" t="s">
        <v>28</v>
      </c>
      <c r="C82" s="2" t="s">
        <v>72</v>
      </c>
      <c r="D82" s="2" t="s">
        <v>146</v>
      </c>
      <c r="E82" s="2">
        <v>2</v>
      </c>
      <c r="F82" s="2">
        <v>0</v>
      </c>
    </row>
    <row r="83" spans="1:6" ht="15.75" customHeight="1" x14ac:dyDescent="0.25">
      <c r="A83" s="2" t="s">
        <v>230</v>
      </c>
      <c r="B83" s="2" t="s">
        <v>47</v>
      </c>
      <c r="C83" s="2" t="s">
        <v>80</v>
      </c>
      <c r="D83" s="2" t="s">
        <v>148</v>
      </c>
      <c r="E83" s="2">
        <v>3</v>
      </c>
      <c r="F83" s="2">
        <v>0</v>
      </c>
    </row>
    <row r="84" spans="1:6" ht="15.75" customHeight="1" x14ac:dyDescent="0.25">
      <c r="A84" s="2" t="s">
        <v>231</v>
      </c>
      <c r="B84" s="2" t="s">
        <v>8</v>
      </c>
      <c r="C84" s="2" t="s">
        <v>86</v>
      </c>
      <c r="D84" s="2" t="s">
        <v>150</v>
      </c>
      <c r="E84" s="2">
        <v>4</v>
      </c>
      <c r="F84" s="2">
        <v>0</v>
      </c>
    </row>
    <row r="85" spans="1:6" ht="15.75" customHeight="1" x14ac:dyDescent="0.25">
      <c r="A85" s="2" t="s">
        <v>232</v>
      </c>
      <c r="B85" s="2" t="s">
        <v>31</v>
      </c>
      <c r="C85" s="2" t="s">
        <v>69</v>
      </c>
      <c r="D85" s="2" t="s">
        <v>152</v>
      </c>
      <c r="E85" s="2">
        <v>5</v>
      </c>
      <c r="F85" s="2">
        <v>0.05</v>
      </c>
    </row>
    <row r="86" spans="1:6" ht="15.75" customHeight="1" x14ac:dyDescent="0.25">
      <c r="A86" s="2" t="s">
        <v>233</v>
      </c>
      <c r="B86" s="2" t="s">
        <v>49</v>
      </c>
      <c r="C86" s="2" t="s">
        <v>77</v>
      </c>
      <c r="D86" s="2" t="s">
        <v>154</v>
      </c>
      <c r="E86" s="2">
        <v>1</v>
      </c>
      <c r="F86" s="2">
        <v>0</v>
      </c>
    </row>
    <row r="87" spans="1:6" ht="15.75" customHeight="1" x14ac:dyDescent="0.25">
      <c r="A87" s="2" t="s">
        <v>234</v>
      </c>
      <c r="B87" s="2" t="s">
        <v>12</v>
      </c>
      <c r="C87" s="2" t="s">
        <v>84</v>
      </c>
      <c r="D87" s="2" t="s">
        <v>156</v>
      </c>
      <c r="E87" s="2">
        <v>2</v>
      </c>
      <c r="F87" s="2">
        <v>0</v>
      </c>
    </row>
    <row r="88" spans="1:6" ht="15.75" customHeight="1" x14ac:dyDescent="0.25">
      <c r="A88" s="2" t="s">
        <v>235</v>
      </c>
      <c r="B88" s="2" t="s">
        <v>33</v>
      </c>
      <c r="C88" s="2" t="s">
        <v>67</v>
      </c>
      <c r="D88" s="2" t="s">
        <v>158</v>
      </c>
      <c r="E88" s="2">
        <v>3</v>
      </c>
      <c r="F88" s="2">
        <v>0</v>
      </c>
    </row>
    <row r="89" spans="1:6" ht="15.75" customHeight="1" x14ac:dyDescent="0.25">
      <c r="A89" s="2" t="s">
        <v>236</v>
      </c>
      <c r="B89" s="2" t="s">
        <v>52</v>
      </c>
      <c r="C89" s="2" t="s">
        <v>74</v>
      </c>
      <c r="D89" s="2" t="s">
        <v>160</v>
      </c>
      <c r="E89" s="2">
        <v>4</v>
      </c>
      <c r="F89" s="2">
        <v>0.1</v>
      </c>
    </row>
    <row r="90" spans="1:6" ht="15.75" customHeight="1" x14ac:dyDescent="0.25">
      <c r="A90" s="2" t="s">
        <v>237</v>
      </c>
      <c r="B90" s="2" t="s">
        <v>15</v>
      </c>
      <c r="C90" s="2" t="s">
        <v>82</v>
      </c>
      <c r="D90" s="2" t="s">
        <v>162</v>
      </c>
      <c r="E90" s="2">
        <v>5</v>
      </c>
      <c r="F90" s="2">
        <v>0</v>
      </c>
    </row>
    <row r="91" spans="1:6" ht="15.75" customHeight="1" x14ac:dyDescent="0.25">
      <c r="A91" s="2" t="s">
        <v>238</v>
      </c>
      <c r="B91" s="2" t="s">
        <v>35</v>
      </c>
      <c r="C91" s="2" t="s">
        <v>64</v>
      </c>
      <c r="D91" s="2" t="s">
        <v>164</v>
      </c>
      <c r="E91" s="2">
        <v>1</v>
      </c>
      <c r="F91" s="2">
        <v>0</v>
      </c>
    </row>
    <row r="92" spans="1:6" ht="15.75" customHeight="1" x14ac:dyDescent="0.25">
      <c r="A92" s="2" t="s">
        <v>239</v>
      </c>
      <c r="B92" s="2" t="s">
        <v>54</v>
      </c>
      <c r="C92" s="2" t="s">
        <v>72</v>
      </c>
      <c r="D92" s="2" t="s">
        <v>166</v>
      </c>
      <c r="E92" s="2">
        <v>2</v>
      </c>
      <c r="F92" s="2">
        <v>0.05</v>
      </c>
    </row>
    <row r="93" spans="1:6" ht="15.75" customHeight="1" x14ac:dyDescent="0.25">
      <c r="A93" s="2" t="s">
        <v>240</v>
      </c>
      <c r="B93" s="2" t="s">
        <v>18</v>
      </c>
      <c r="C93" s="2" t="s">
        <v>80</v>
      </c>
      <c r="D93" s="2" t="s">
        <v>168</v>
      </c>
      <c r="E93" s="2">
        <v>3</v>
      </c>
      <c r="F93" s="2">
        <v>0</v>
      </c>
    </row>
    <row r="94" spans="1:6" ht="15.75" customHeight="1" x14ac:dyDescent="0.25">
      <c r="A94" s="2" t="s">
        <v>241</v>
      </c>
      <c r="B94" s="2" t="s">
        <v>38</v>
      </c>
      <c r="C94" s="2" t="s">
        <v>86</v>
      </c>
      <c r="D94" s="2" t="s">
        <v>170</v>
      </c>
      <c r="E94" s="2">
        <v>4</v>
      </c>
      <c r="F94" s="2">
        <v>0</v>
      </c>
    </row>
    <row r="95" spans="1:6" ht="15.75" customHeight="1" x14ac:dyDescent="0.25">
      <c r="A95" s="2" t="s">
        <v>242</v>
      </c>
      <c r="B95" s="2" t="s">
        <v>56</v>
      </c>
      <c r="C95" s="2" t="s">
        <v>69</v>
      </c>
      <c r="D95" s="2" t="s">
        <v>173</v>
      </c>
      <c r="E95" s="2">
        <v>5</v>
      </c>
      <c r="F95" s="2">
        <v>0</v>
      </c>
    </row>
    <row r="96" spans="1:6" ht="15.75" customHeight="1" x14ac:dyDescent="0.25">
      <c r="A96" s="2" t="s">
        <v>243</v>
      </c>
      <c r="B96" s="2" t="s">
        <v>21</v>
      </c>
      <c r="C96" s="2" t="s">
        <v>77</v>
      </c>
      <c r="D96" s="2" t="s">
        <v>175</v>
      </c>
      <c r="E96" s="2">
        <v>1</v>
      </c>
      <c r="F96" s="2">
        <v>0</v>
      </c>
    </row>
    <row r="97" spans="1:6" ht="15.75" customHeight="1" x14ac:dyDescent="0.25">
      <c r="A97" s="2" t="s">
        <v>244</v>
      </c>
      <c r="B97" s="2" t="s">
        <v>41</v>
      </c>
      <c r="C97" s="2" t="s">
        <v>84</v>
      </c>
      <c r="D97" s="2" t="s">
        <v>177</v>
      </c>
      <c r="E97" s="2">
        <v>2</v>
      </c>
      <c r="F97" s="2">
        <v>0</v>
      </c>
    </row>
    <row r="98" spans="1:6" ht="15.75" customHeight="1" x14ac:dyDescent="0.25">
      <c r="A98" s="2" t="s">
        <v>245</v>
      </c>
      <c r="B98" s="2" t="s">
        <v>58</v>
      </c>
      <c r="C98" s="2" t="s">
        <v>67</v>
      </c>
      <c r="D98" s="2" t="s">
        <v>179</v>
      </c>
      <c r="E98" s="2">
        <v>3</v>
      </c>
      <c r="F98" s="2">
        <v>0</v>
      </c>
    </row>
    <row r="99" spans="1:6" ht="15.75" customHeight="1" x14ac:dyDescent="0.25">
      <c r="A99" s="2" t="s">
        <v>246</v>
      </c>
      <c r="B99" s="2" t="s">
        <v>25</v>
      </c>
      <c r="C99" s="2" t="s">
        <v>74</v>
      </c>
      <c r="D99" s="2" t="s">
        <v>181</v>
      </c>
      <c r="E99" s="2">
        <v>4</v>
      </c>
      <c r="F99" s="2">
        <v>0.05</v>
      </c>
    </row>
    <row r="100" spans="1:6" ht="15.75" customHeight="1" x14ac:dyDescent="0.25">
      <c r="A100" s="2" t="s">
        <v>247</v>
      </c>
      <c r="B100" s="2" t="s">
        <v>44</v>
      </c>
      <c r="C100" s="2" t="s">
        <v>82</v>
      </c>
      <c r="D100" s="2" t="s">
        <v>183</v>
      </c>
      <c r="E100" s="2">
        <v>5</v>
      </c>
      <c r="F100" s="2">
        <v>0.1</v>
      </c>
    </row>
    <row r="101" spans="1:6" ht="15.75" customHeight="1" x14ac:dyDescent="0.25">
      <c r="A101" s="2" t="s">
        <v>248</v>
      </c>
      <c r="B101" s="2" t="s">
        <v>4</v>
      </c>
      <c r="C101" s="2" t="s">
        <v>64</v>
      </c>
      <c r="D101" s="2" t="s">
        <v>185</v>
      </c>
      <c r="E101" s="2">
        <v>1</v>
      </c>
      <c r="F101" s="2">
        <v>0</v>
      </c>
    </row>
    <row r="102" spans="1:6" ht="15.75" customHeight="1" x14ac:dyDescent="0.25">
      <c r="A102" s="2" t="s">
        <v>249</v>
      </c>
      <c r="B102" s="2" t="s">
        <v>28</v>
      </c>
      <c r="C102" s="2" t="s">
        <v>72</v>
      </c>
      <c r="D102" s="2" t="s">
        <v>187</v>
      </c>
      <c r="E102" s="2">
        <v>2</v>
      </c>
      <c r="F102" s="2">
        <v>0</v>
      </c>
    </row>
    <row r="103" spans="1:6" ht="15.75" customHeight="1" x14ac:dyDescent="0.25">
      <c r="A103" s="2" t="s">
        <v>250</v>
      </c>
      <c r="B103" s="2" t="s">
        <v>47</v>
      </c>
      <c r="C103" s="2" t="s">
        <v>80</v>
      </c>
      <c r="D103" s="2" t="s">
        <v>189</v>
      </c>
      <c r="E103" s="2">
        <v>3</v>
      </c>
      <c r="F103" s="2">
        <v>0</v>
      </c>
    </row>
    <row r="104" spans="1:6" ht="15.75" customHeight="1" x14ac:dyDescent="0.25">
      <c r="A104" s="2" t="s">
        <v>251</v>
      </c>
      <c r="B104" s="2" t="s">
        <v>8</v>
      </c>
      <c r="C104" s="2" t="s">
        <v>86</v>
      </c>
      <c r="D104" s="2" t="s">
        <v>191</v>
      </c>
      <c r="E104" s="2">
        <v>4</v>
      </c>
      <c r="F104" s="2">
        <v>0</v>
      </c>
    </row>
    <row r="105" spans="1:6" ht="15.75" customHeight="1" x14ac:dyDescent="0.25">
      <c r="A105" s="2" t="s">
        <v>252</v>
      </c>
      <c r="B105" s="2" t="s">
        <v>31</v>
      </c>
      <c r="C105" s="2" t="s">
        <v>69</v>
      </c>
      <c r="D105" s="2" t="s">
        <v>193</v>
      </c>
      <c r="E105" s="2">
        <v>5</v>
      </c>
      <c r="F105" s="2">
        <v>0</v>
      </c>
    </row>
    <row r="106" spans="1:6" ht="15.75" customHeight="1" x14ac:dyDescent="0.25">
      <c r="A106" s="2" t="s">
        <v>253</v>
      </c>
      <c r="B106" s="2" t="s">
        <v>49</v>
      </c>
      <c r="C106" s="2" t="s">
        <v>77</v>
      </c>
      <c r="D106" s="2" t="s">
        <v>195</v>
      </c>
      <c r="E106" s="2">
        <v>1</v>
      </c>
      <c r="F106" s="2">
        <v>0.05</v>
      </c>
    </row>
    <row r="107" spans="1:6" ht="15.75" customHeight="1" x14ac:dyDescent="0.25">
      <c r="A107" s="2" t="s">
        <v>254</v>
      </c>
      <c r="B107" s="2" t="s">
        <v>12</v>
      </c>
      <c r="C107" s="2" t="s">
        <v>84</v>
      </c>
      <c r="D107" s="2" t="s">
        <v>197</v>
      </c>
      <c r="E107" s="2">
        <v>2</v>
      </c>
      <c r="F107" s="2">
        <v>0</v>
      </c>
    </row>
    <row r="108" spans="1:6" ht="15.75" customHeight="1" x14ac:dyDescent="0.25">
      <c r="A108" s="2" t="s">
        <v>255</v>
      </c>
      <c r="B108" s="2" t="s">
        <v>33</v>
      </c>
      <c r="C108" s="2" t="s">
        <v>67</v>
      </c>
      <c r="D108" s="2" t="s">
        <v>199</v>
      </c>
      <c r="E108" s="2">
        <v>3</v>
      </c>
      <c r="F108" s="2">
        <v>0</v>
      </c>
    </row>
    <row r="109" spans="1:6" ht="15.75" customHeight="1" x14ac:dyDescent="0.25">
      <c r="A109" s="2" t="s">
        <v>256</v>
      </c>
      <c r="B109" s="2" t="s">
        <v>52</v>
      </c>
      <c r="C109" s="2" t="s">
        <v>74</v>
      </c>
      <c r="D109" s="2" t="s">
        <v>201</v>
      </c>
      <c r="E109" s="2">
        <v>4</v>
      </c>
      <c r="F109" s="2">
        <v>0</v>
      </c>
    </row>
    <row r="110" spans="1:6" ht="15.75" customHeight="1" x14ac:dyDescent="0.25">
      <c r="A110" s="2" t="s">
        <v>257</v>
      </c>
      <c r="B110" s="2" t="s">
        <v>15</v>
      </c>
      <c r="C110" s="2" t="s">
        <v>82</v>
      </c>
      <c r="D110" s="2" t="s">
        <v>93</v>
      </c>
      <c r="E110" s="2">
        <v>5</v>
      </c>
      <c r="F110" s="2">
        <v>0</v>
      </c>
    </row>
    <row r="111" spans="1:6" ht="15.75" customHeight="1" x14ac:dyDescent="0.25">
      <c r="A111" s="2" t="s">
        <v>258</v>
      </c>
      <c r="B111" s="2" t="s">
        <v>35</v>
      </c>
      <c r="C111" s="2" t="s">
        <v>64</v>
      </c>
      <c r="D111" s="2" t="s">
        <v>95</v>
      </c>
      <c r="E111" s="2">
        <v>1</v>
      </c>
      <c r="F111" s="2">
        <v>0.1</v>
      </c>
    </row>
    <row r="112" spans="1:6" ht="15.75" customHeight="1" x14ac:dyDescent="0.25">
      <c r="A112" s="2" t="s">
        <v>259</v>
      </c>
      <c r="B112" s="2" t="s">
        <v>54</v>
      </c>
      <c r="C112" s="2" t="s">
        <v>72</v>
      </c>
      <c r="D112" s="2" t="s">
        <v>97</v>
      </c>
      <c r="E112" s="2">
        <v>2</v>
      </c>
      <c r="F112" s="2">
        <v>0</v>
      </c>
    </row>
    <row r="113" spans="1:6" ht="15.75" customHeight="1" x14ac:dyDescent="0.25">
      <c r="A113" s="2" t="s">
        <v>260</v>
      </c>
      <c r="B113" s="2" t="s">
        <v>18</v>
      </c>
      <c r="C113" s="2" t="s">
        <v>80</v>
      </c>
      <c r="D113" s="2" t="s">
        <v>99</v>
      </c>
      <c r="E113" s="2">
        <v>3</v>
      </c>
      <c r="F113" s="2">
        <v>0.05</v>
      </c>
    </row>
    <row r="114" spans="1:6" ht="15.75" customHeight="1" x14ac:dyDescent="0.25">
      <c r="A114" s="2" t="s">
        <v>261</v>
      </c>
      <c r="B114" s="2" t="s">
        <v>38</v>
      </c>
      <c r="C114" s="2" t="s">
        <v>86</v>
      </c>
      <c r="D114" s="2" t="s">
        <v>101</v>
      </c>
      <c r="E114" s="2">
        <v>4</v>
      </c>
      <c r="F114" s="2">
        <v>0</v>
      </c>
    </row>
    <row r="115" spans="1:6" ht="15.75" customHeight="1" x14ac:dyDescent="0.25">
      <c r="A115" s="2" t="s">
        <v>262</v>
      </c>
      <c r="B115" s="2" t="s">
        <v>56</v>
      </c>
      <c r="C115" s="2" t="s">
        <v>69</v>
      </c>
      <c r="D115" s="2" t="s">
        <v>103</v>
      </c>
      <c r="E115" s="2">
        <v>5</v>
      </c>
      <c r="F115" s="2">
        <v>0</v>
      </c>
    </row>
    <row r="116" spans="1:6" ht="15.75" customHeight="1" x14ac:dyDescent="0.25">
      <c r="A116" s="2" t="s">
        <v>263</v>
      </c>
      <c r="B116" s="2" t="s">
        <v>21</v>
      </c>
      <c r="C116" s="2" t="s">
        <v>77</v>
      </c>
      <c r="D116" s="2" t="s">
        <v>105</v>
      </c>
      <c r="E116" s="2">
        <v>1</v>
      </c>
      <c r="F116" s="2">
        <v>0</v>
      </c>
    </row>
    <row r="117" spans="1:6" ht="15.75" customHeight="1" x14ac:dyDescent="0.25">
      <c r="A117" s="2" t="s">
        <v>264</v>
      </c>
      <c r="B117" s="2" t="s">
        <v>41</v>
      </c>
      <c r="C117" s="2" t="s">
        <v>84</v>
      </c>
      <c r="D117" s="2" t="s">
        <v>107</v>
      </c>
      <c r="E117" s="2">
        <v>2</v>
      </c>
      <c r="F117" s="2">
        <v>0</v>
      </c>
    </row>
    <row r="118" spans="1:6" ht="15.75" customHeight="1" x14ac:dyDescent="0.25">
      <c r="A118" s="2" t="s">
        <v>265</v>
      </c>
      <c r="B118" s="2" t="s">
        <v>58</v>
      </c>
      <c r="C118" s="2" t="s">
        <v>67</v>
      </c>
      <c r="D118" s="2" t="s">
        <v>109</v>
      </c>
      <c r="E118" s="2">
        <v>3</v>
      </c>
      <c r="F118" s="2">
        <v>0</v>
      </c>
    </row>
    <row r="119" spans="1:6" ht="15.75" customHeight="1" x14ac:dyDescent="0.25">
      <c r="A119" s="2" t="s">
        <v>266</v>
      </c>
      <c r="B119" s="2" t="s">
        <v>25</v>
      </c>
      <c r="C119" s="2" t="s">
        <v>74</v>
      </c>
      <c r="D119" s="2" t="s">
        <v>112</v>
      </c>
      <c r="E119" s="2">
        <v>4</v>
      </c>
      <c r="F119" s="2">
        <v>0</v>
      </c>
    </row>
    <row r="120" spans="1:6" ht="15.75" customHeight="1" x14ac:dyDescent="0.25">
      <c r="A120" s="2" t="s">
        <v>267</v>
      </c>
      <c r="B120" s="2" t="s">
        <v>44</v>
      </c>
      <c r="C120" s="2" t="s">
        <v>82</v>
      </c>
      <c r="D120" s="2" t="s">
        <v>114</v>
      </c>
      <c r="E120" s="2">
        <v>5</v>
      </c>
      <c r="F120" s="2">
        <v>0.05</v>
      </c>
    </row>
    <row r="121" spans="1:6" ht="15.75" customHeight="1" x14ac:dyDescent="0.25">
      <c r="A121" s="2" t="s">
        <v>268</v>
      </c>
      <c r="B121" s="2" t="s">
        <v>4</v>
      </c>
      <c r="C121" s="2" t="s">
        <v>64</v>
      </c>
      <c r="D121" s="2" t="s">
        <v>116</v>
      </c>
      <c r="E121" s="2">
        <v>-2</v>
      </c>
      <c r="F121" s="2">
        <v>0</v>
      </c>
    </row>
    <row r="122" spans="1:6" ht="15.75" customHeight="1" x14ac:dyDescent="0.25">
      <c r="A122" s="2" t="s">
        <v>269</v>
      </c>
      <c r="B122" s="2" t="s">
        <v>28</v>
      </c>
      <c r="C122" s="2" t="s">
        <v>72</v>
      </c>
      <c r="D122" s="2" t="s">
        <v>118</v>
      </c>
      <c r="E122" s="2">
        <v>2</v>
      </c>
      <c r="F122" s="2">
        <v>0.1</v>
      </c>
    </row>
    <row r="123" spans="1:6" ht="15.75" customHeight="1" x14ac:dyDescent="0.25">
      <c r="A123" s="2" t="s">
        <v>270</v>
      </c>
      <c r="B123" s="2" t="s">
        <v>47</v>
      </c>
      <c r="C123" s="2" t="s">
        <v>80</v>
      </c>
      <c r="D123" s="2" t="s">
        <v>120</v>
      </c>
      <c r="E123" s="2">
        <v>3</v>
      </c>
      <c r="F123" s="2">
        <v>0</v>
      </c>
    </row>
    <row r="124" spans="1:6" ht="15.75" customHeight="1" x14ac:dyDescent="0.25">
      <c r="A124" s="2" t="s">
        <v>271</v>
      </c>
      <c r="B124" s="2" t="s">
        <v>8</v>
      </c>
      <c r="C124" s="2" t="s">
        <v>86</v>
      </c>
      <c r="D124" s="2" t="s">
        <v>122</v>
      </c>
      <c r="E124" s="2">
        <v>4</v>
      </c>
      <c r="F124" s="2">
        <v>0</v>
      </c>
    </row>
    <row r="125" spans="1:6" ht="15.75" customHeight="1" x14ac:dyDescent="0.25">
      <c r="A125" s="2" t="s">
        <v>272</v>
      </c>
      <c r="B125" s="2" t="s">
        <v>31</v>
      </c>
      <c r="C125" s="2" t="s">
        <v>69</v>
      </c>
      <c r="D125" s="2" t="s">
        <v>124</v>
      </c>
      <c r="E125" s="2">
        <v>5</v>
      </c>
      <c r="F125" s="2">
        <v>0</v>
      </c>
    </row>
    <row r="126" spans="1:6" ht="15.75" customHeight="1" x14ac:dyDescent="0.25">
      <c r="A126" s="2" t="s">
        <v>273</v>
      </c>
      <c r="B126" s="2" t="s">
        <v>49</v>
      </c>
      <c r="C126" s="2" t="s">
        <v>77</v>
      </c>
      <c r="D126" s="2" t="s">
        <v>126</v>
      </c>
      <c r="E126" s="2">
        <v>1</v>
      </c>
      <c r="F126" s="2">
        <v>0</v>
      </c>
    </row>
    <row r="127" spans="1:6" ht="15.75" customHeight="1" x14ac:dyDescent="0.25">
      <c r="A127" s="2" t="s">
        <v>274</v>
      </c>
      <c r="B127" s="2" t="s">
        <v>12</v>
      </c>
      <c r="C127" s="2" t="s">
        <v>84</v>
      </c>
      <c r="D127" s="2" t="s">
        <v>128</v>
      </c>
      <c r="E127" s="2">
        <v>2</v>
      </c>
      <c r="F127" s="2">
        <v>0.05</v>
      </c>
    </row>
    <row r="128" spans="1:6" ht="15.75" customHeight="1" x14ac:dyDescent="0.25">
      <c r="A128" s="2" t="s">
        <v>275</v>
      </c>
      <c r="B128" s="2" t="s">
        <v>33</v>
      </c>
      <c r="C128" s="2" t="s">
        <v>67</v>
      </c>
      <c r="D128" s="2" t="s">
        <v>130</v>
      </c>
      <c r="E128" s="2">
        <v>3</v>
      </c>
      <c r="F128" s="2">
        <v>0</v>
      </c>
    </row>
    <row r="129" spans="1:6" ht="15.75" customHeight="1" x14ac:dyDescent="0.25">
      <c r="A129" s="2" t="s">
        <v>276</v>
      </c>
      <c r="B129" s="2" t="s">
        <v>52</v>
      </c>
      <c r="C129" s="2" t="s">
        <v>74</v>
      </c>
      <c r="D129" s="2" t="s">
        <v>132</v>
      </c>
      <c r="E129" s="2">
        <v>4</v>
      </c>
      <c r="F129" s="2">
        <v>0</v>
      </c>
    </row>
    <row r="130" spans="1:6" ht="15.75" customHeight="1" x14ac:dyDescent="0.25">
      <c r="A130" s="2" t="s">
        <v>277</v>
      </c>
      <c r="B130" s="2" t="s">
        <v>15</v>
      </c>
      <c r="C130" s="2" t="s">
        <v>82</v>
      </c>
      <c r="D130" s="2" t="s">
        <v>134</v>
      </c>
      <c r="E130" s="2">
        <v>5</v>
      </c>
      <c r="F130" s="2">
        <v>0</v>
      </c>
    </row>
    <row r="131" spans="1:6" ht="15.75" customHeight="1" x14ac:dyDescent="0.25">
      <c r="A131" s="2" t="s">
        <v>278</v>
      </c>
      <c r="B131" s="2" t="s">
        <v>35</v>
      </c>
      <c r="C131" s="2" t="s">
        <v>64</v>
      </c>
      <c r="D131" s="2" t="s">
        <v>136</v>
      </c>
      <c r="E131" s="2">
        <v>1</v>
      </c>
      <c r="F131" s="2">
        <v>0</v>
      </c>
    </row>
    <row r="132" spans="1:6" ht="15.75" customHeight="1" x14ac:dyDescent="0.25">
      <c r="A132" s="2" t="s">
        <v>279</v>
      </c>
      <c r="B132" s="2" t="s">
        <v>54</v>
      </c>
      <c r="C132" s="2" t="s">
        <v>72</v>
      </c>
      <c r="D132" s="2" t="s">
        <v>138</v>
      </c>
      <c r="E132" s="2">
        <v>2</v>
      </c>
      <c r="F132" s="2">
        <v>0</v>
      </c>
    </row>
    <row r="133" spans="1:6" ht="15.75" customHeight="1" x14ac:dyDescent="0.25">
      <c r="A133" s="2" t="s">
        <v>280</v>
      </c>
      <c r="B133" s="2" t="s">
        <v>18</v>
      </c>
      <c r="C133" s="2" t="s">
        <v>80</v>
      </c>
      <c r="D133" s="2" t="s">
        <v>140</v>
      </c>
      <c r="E133" s="2">
        <v>3</v>
      </c>
      <c r="F133" s="2">
        <v>0.1</v>
      </c>
    </row>
    <row r="134" spans="1:6" ht="15.75" customHeight="1" x14ac:dyDescent="0.25">
      <c r="A134" s="2" t="s">
        <v>281</v>
      </c>
      <c r="B134" s="2" t="s">
        <v>38</v>
      </c>
      <c r="C134" s="2" t="s">
        <v>86</v>
      </c>
      <c r="D134" s="2" t="s">
        <v>142</v>
      </c>
      <c r="E134" s="2">
        <v>4</v>
      </c>
      <c r="F134" s="2">
        <v>0.05</v>
      </c>
    </row>
    <row r="135" spans="1:6" ht="15.75" customHeight="1" x14ac:dyDescent="0.25">
      <c r="A135" s="2" t="s">
        <v>282</v>
      </c>
      <c r="B135" s="2" t="s">
        <v>56</v>
      </c>
      <c r="C135" s="2" t="s">
        <v>69</v>
      </c>
      <c r="D135" s="2" t="s">
        <v>144</v>
      </c>
      <c r="E135" s="2">
        <v>5</v>
      </c>
      <c r="F135" s="2">
        <v>0</v>
      </c>
    </row>
    <row r="136" spans="1:6" ht="15.75" customHeight="1" x14ac:dyDescent="0.25">
      <c r="A136" s="2" t="s">
        <v>283</v>
      </c>
      <c r="B136" s="2" t="s">
        <v>21</v>
      </c>
      <c r="C136" s="2" t="s">
        <v>77</v>
      </c>
      <c r="D136" s="2" t="s">
        <v>146</v>
      </c>
      <c r="E136" s="2">
        <v>1</v>
      </c>
      <c r="F136" s="2">
        <v>0</v>
      </c>
    </row>
    <row r="137" spans="1:6" ht="15.75" customHeight="1" x14ac:dyDescent="0.25">
      <c r="A137" s="2" t="s">
        <v>284</v>
      </c>
      <c r="B137" s="2" t="s">
        <v>41</v>
      </c>
      <c r="C137" s="2" t="s">
        <v>84</v>
      </c>
      <c r="D137" s="2" t="s">
        <v>148</v>
      </c>
      <c r="E137" s="2">
        <v>2</v>
      </c>
      <c r="F137" s="2">
        <v>0</v>
      </c>
    </row>
    <row r="138" spans="1:6" ht="15.75" customHeight="1" x14ac:dyDescent="0.25">
      <c r="A138" s="2" t="s">
        <v>285</v>
      </c>
      <c r="B138" s="2" t="s">
        <v>58</v>
      </c>
      <c r="C138" s="2" t="s">
        <v>67</v>
      </c>
      <c r="D138" s="2" t="s">
        <v>150</v>
      </c>
      <c r="E138" s="2">
        <v>3</v>
      </c>
      <c r="F138" s="2">
        <v>0</v>
      </c>
    </row>
    <row r="139" spans="1:6" ht="15.75" customHeight="1" x14ac:dyDescent="0.25">
      <c r="A139" s="2" t="s">
        <v>286</v>
      </c>
      <c r="B139" s="2" t="s">
        <v>25</v>
      </c>
      <c r="C139" s="2" t="s">
        <v>74</v>
      </c>
      <c r="D139" s="2" t="s">
        <v>152</v>
      </c>
      <c r="E139" s="2">
        <v>4</v>
      </c>
      <c r="F139" s="2">
        <v>0</v>
      </c>
    </row>
    <row r="140" spans="1:6" ht="15.75" customHeight="1" x14ac:dyDescent="0.25">
      <c r="A140" s="2" t="s">
        <v>287</v>
      </c>
      <c r="B140" s="2" t="s">
        <v>44</v>
      </c>
      <c r="C140" s="2" t="s">
        <v>82</v>
      </c>
      <c r="D140" s="2" t="s">
        <v>154</v>
      </c>
      <c r="E140" s="2">
        <v>5</v>
      </c>
      <c r="F140" s="2">
        <v>0</v>
      </c>
    </row>
    <row r="141" spans="1:6" ht="15.75" customHeight="1" x14ac:dyDescent="0.25">
      <c r="A141" s="2" t="s">
        <v>288</v>
      </c>
      <c r="B141" s="2" t="s">
        <v>4</v>
      </c>
      <c r="C141" s="2" t="s">
        <v>64</v>
      </c>
      <c r="D141" s="2" t="s">
        <v>156</v>
      </c>
      <c r="E141" s="2">
        <v>1</v>
      </c>
      <c r="F141" s="2">
        <v>0.25</v>
      </c>
    </row>
    <row r="142" spans="1:6" ht="15.75" customHeight="1" x14ac:dyDescent="0.25">
      <c r="A142" s="2" t="s">
        <v>289</v>
      </c>
      <c r="B142" s="2" t="s">
        <v>28</v>
      </c>
      <c r="C142" s="2" t="s">
        <v>72</v>
      </c>
      <c r="D142" s="2" t="s">
        <v>158</v>
      </c>
      <c r="E142" s="2">
        <v>2</v>
      </c>
      <c r="F142" s="2">
        <v>0</v>
      </c>
    </row>
    <row r="143" spans="1:6" ht="15.75" customHeight="1" x14ac:dyDescent="0.25">
      <c r="A143" s="2" t="s">
        <v>290</v>
      </c>
      <c r="B143" s="2" t="s">
        <v>47</v>
      </c>
      <c r="C143" s="2" t="s">
        <v>80</v>
      </c>
      <c r="D143" s="2" t="s">
        <v>160</v>
      </c>
      <c r="E143" s="2">
        <v>3</v>
      </c>
      <c r="F143" s="2">
        <v>0</v>
      </c>
    </row>
    <row r="144" spans="1:6" ht="15.75" customHeight="1" x14ac:dyDescent="0.25">
      <c r="A144" s="2" t="s">
        <v>291</v>
      </c>
      <c r="B144" s="2" t="s">
        <v>8</v>
      </c>
      <c r="C144" s="2" t="s">
        <v>86</v>
      </c>
      <c r="D144" s="2" t="s">
        <v>162</v>
      </c>
      <c r="E144" s="2">
        <v>4</v>
      </c>
      <c r="F144" s="2">
        <v>0.1</v>
      </c>
    </row>
    <row r="145" spans="1:6" ht="15.75" customHeight="1" x14ac:dyDescent="0.25">
      <c r="A145" s="2" t="s">
        <v>292</v>
      </c>
      <c r="B145" s="2" t="s">
        <v>31</v>
      </c>
      <c r="C145" s="2" t="s">
        <v>69</v>
      </c>
      <c r="D145" s="2" t="s">
        <v>164</v>
      </c>
      <c r="E145" s="2">
        <v>5</v>
      </c>
      <c r="F145" s="2">
        <v>0</v>
      </c>
    </row>
    <row r="146" spans="1:6" ht="15.75" customHeight="1" x14ac:dyDescent="0.25">
      <c r="A146" s="2" t="s">
        <v>293</v>
      </c>
      <c r="B146" s="2" t="s">
        <v>49</v>
      </c>
      <c r="C146" s="2" t="s">
        <v>77</v>
      </c>
      <c r="D146" s="2" t="s">
        <v>166</v>
      </c>
      <c r="E146" s="2">
        <v>1</v>
      </c>
      <c r="F146" s="2">
        <v>0</v>
      </c>
    </row>
    <row r="147" spans="1:6" ht="15.75" customHeight="1" x14ac:dyDescent="0.25">
      <c r="A147" s="2" t="s">
        <v>294</v>
      </c>
      <c r="B147" s="2" t="s">
        <v>12</v>
      </c>
      <c r="C147" s="2" t="s">
        <v>84</v>
      </c>
      <c r="D147" s="2" t="s">
        <v>168</v>
      </c>
      <c r="E147" s="2">
        <v>2</v>
      </c>
      <c r="F147" s="2">
        <v>0</v>
      </c>
    </row>
    <row r="148" spans="1:6" ht="15.75" customHeight="1" x14ac:dyDescent="0.25">
      <c r="A148" s="2" t="s">
        <v>295</v>
      </c>
      <c r="B148" s="2" t="s">
        <v>33</v>
      </c>
      <c r="C148" s="2" t="s">
        <v>67</v>
      </c>
      <c r="D148" s="2" t="s">
        <v>170</v>
      </c>
      <c r="E148" s="2">
        <v>3</v>
      </c>
      <c r="F148" s="2">
        <v>0.05</v>
      </c>
    </row>
    <row r="149" spans="1:6" ht="15.75" customHeight="1" x14ac:dyDescent="0.25">
      <c r="A149" s="2" t="s">
        <v>296</v>
      </c>
      <c r="B149" s="2" t="s">
        <v>52</v>
      </c>
      <c r="C149" s="2" t="s">
        <v>74</v>
      </c>
      <c r="D149" s="2" t="s">
        <v>173</v>
      </c>
      <c r="E149" s="2">
        <v>4</v>
      </c>
      <c r="F149" s="2">
        <v>0</v>
      </c>
    </row>
    <row r="150" spans="1:6" ht="15.75" customHeight="1" x14ac:dyDescent="0.25">
      <c r="A150" s="2" t="s">
        <v>297</v>
      </c>
      <c r="B150" s="2" t="s">
        <v>15</v>
      </c>
      <c r="C150" s="2" t="s">
        <v>82</v>
      </c>
      <c r="D150" s="2" t="s">
        <v>175</v>
      </c>
      <c r="E150" s="2">
        <v>5</v>
      </c>
      <c r="F150" s="2">
        <v>0</v>
      </c>
    </row>
    <row r="151" spans="1:6" ht="15.75" customHeight="1" x14ac:dyDescent="0.25">
      <c r="A151" s="2" t="s">
        <v>298</v>
      </c>
      <c r="B151" s="2" t="s">
        <v>35</v>
      </c>
      <c r="C151" s="2" t="s">
        <v>64</v>
      </c>
      <c r="D151" s="2" t="s">
        <v>177</v>
      </c>
      <c r="E151" s="2">
        <v>1</v>
      </c>
      <c r="F151" s="2">
        <v>0</v>
      </c>
    </row>
    <row r="152" spans="1:6" ht="15.75" customHeight="1" x14ac:dyDescent="0.25"/>
    <row r="153" spans="1:6" ht="15.75" customHeight="1" x14ac:dyDescent="0.25"/>
    <row r="154" spans="1:6" ht="15.75" customHeight="1" x14ac:dyDescent="0.25"/>
    <row r="155" spans="1:6" ht="15.75" customHeight="1" x14ac:dyDescent="0.25"/>
    <row r="156" spans="1:6" ht="15.75" customHeight="1" x14ac:dyDescent="0.25"/>
    <row r="157" spans="1:6" ht="15.75" customHeight="1" x14ac:dyDescent="0.25"/>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F1"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015"/>
  <sheetViews>
    <sheetView zoomScale="62" zoomScaleNormal="62" workbookViewId="0">
      <selection activeCell="B12" sqref="B12:D12"/>
    </sheetView>
  </sheetViews>
  <sheetFormatPr defaultRowHeight="15" x14ac:dyDescent="0.25"/>
  <cols>
    <col min="1" max="1" width="16.85546875" customWidth="1"/>
    <col min="2" max="2" width="21.28515625" customWidth="1"/>
    <col min="3" max="3" width="15.42578125" bestFit="1" customWidth="1"/>
    <col min="4" max="4" width="19.85546875" customWidth="1"/>
    <col min="6" max="6" width="14.42578125" customWidth="1"/>
    <col min="7" max="7" width="19" customWidth="1"/>
    <col min="8" max="8" width="18.7109375" customWidth="1"/>
    <col min="9" max="9" width="13.28515625" customWidth="1"/>
    <col min="11" max="11" width="19.42578125" customWidth="1"/>
    <col min="12" max="12" width="16.85546875" customWidth="1"/>
    <col min="13" max="13" width="14.42578125" customWidth="1"/>
    <col min="14" max="14" width="22.7109375" customWidth="1"/>
    <col min="15" max="15" width="12" customWidth="1"/>
    <col min="16" max="16" width="13" customWidth="1"/>
  </cols>
  <sheetData>
    <row r="1" spans="1:23" ht="15.75" x14ac:dyDescent="0.25">
      <c r="A1" s="21" t="s">
        <v>299</v>
      </c>
      <c r="B1" s="21"/>
      <c r="C1" s="21"/>
      <c r="D1" s="21"/>
      <c r="F1" s="21" t="s">
        <v>300</v>
      </c>
      <c r="G1" s="21"/>
      <c r="H1" s="21"/>
      <c r="I1" s="21"/>
      <c r="K1" s="21" t="s">
        <v>301</v>
      </c>
      <c r="L1" s="21"/>
      <c r="M1" s="21"/>
      <c r="N1" s="21"/>
      <c r="O1" s="21"/>
      <c r="P1" s="21"/>
    </row>
    <row r="2" spans="1:23" x14ac:dyDescent="0.25">
      <c r="A2" s="3" t="s">
        <v>0</v>
      </c>
      <c r="B2" s="3" t="s">
        <v>1</v>
      </c>
      <c r="C2" s="3" t="s">
        <v>2</v>
      </c>
      <c r="D2" s="3" t="s">
        <v>3</v>
      </c>
      <c r="F2" t="s">
        <v>60</v>
      </c>
      <c r="G2" t="s">
        <v>61</v>
      </c>
      <c r="H2" t="s">
        <v>62</v>
      </c>
      <c r="I2" t="s">
        <v>63</v>
      </c>
      <c r="K2" t="s">
        <v>88</v>
      </c>
      <c r="L2" t="s">
        <v>0</v>
      </c>
      <c r="M2" t="s">
        <v>60</v>
      </c>
      <c r="N2" t="s">
        <v>89</v>
      </c>
      <c r="O2" t="s">
        <v>90</v>
      </c>
      <c r="P2" t="s">
        <v>91</v>
      </c>
    </row>
    <row r="3" spans="1:23" x14ac:dyDescent="0.25">
      <c r="A3" s="2" t="s">
        <v>4</v>
      </c>
      <c r="B3" s="2" t="s">
        <v>5</v>
      </c>
      <c r="C3" s="2" t="s">
        <v>6</v>
      </c>
      <c r="D3" s="2" t="s">
        <v>7</v>
      </c>
      <c r="F3" t="s">
        <v>64</v>
      </c>
      <c r="G3" t="s">
        <v>65</v>
      </c>
      <c r="H3" t="s">
        <v>66</v>
      </c>
      <c r="I3" s="4">
        <v>450000</v>
      </c>
      <c r="K3" t="s">
        <v>92</v>
      </c>
      <c r="L3" t="s">
        <v>28</v>
      </c>
      <c r="M3" t="s">
        <v>72</v>
      </c>
      <c r="N3" s="5" t="s">
        <v>93</v>
      </c>
      <c r="O3" s="4">
        <v>2</v>
      </c>
      <c r="P3" s="4">
        <v>0</v>
      </c>
      <c r="U3" s="5"/>
      <c r="V3" s="4"/>
      <c r="W3" s="4"/>
    </row>
    <row r="4" spans="1:23" x14ac:dyDescent="0.25">
      <c r="A4" s="2" t="s">
        <v>8</v>
      </c>
      <c r="B4" s="2" t="s">
        <v>9</v>
      </c>
      <c r="C4" s="2" t="s">
        <v>10</v>
      </c>
      <c r="D4" s="2" t="s">
        <v>11</v>
      </c>
      <c r="F4" t="s">
        <v>67</v>
      </c>
      <c r="G4" t="s">
        <v>68</v>
      </c>
      <c r="H4" t="s">
        <v>66</v>
      </c>
      <c r="I4" s="4">
        <v>180000</v>
      </c>
      <c r="K4" t="s">
        <v>94</v>
      </c>
      <c r="L4" t="s">
        <v>47</v>
      </c>
      <c r="M4" t="s">
        <v>80</v>
      </c>
      <c r="N4" s="5" t="s">
        <v>95</v>
      </c>
      <c r="O4" s="4">
        <v>3</v>
      </c>
      <c r="P4" s="4">
        <v>0</v>
      </c>
      <c r="U4" s="5"/>
      <c r="V4" s="4"/>
      <c r="W4" s="4"/>
    </row>
    <row r="5" spans="1:23" x14ac:dyDescent="0.25">
      <c r="A5" s="2" t="s">
        <v>12</v>
      </c>
      <c r="B5" s="2" t="s">
        <v>13</v>
      </c>
      <c r="C5" s="2" t="s">
        <v>14</v>
      </c>
      <c r="D5" s="2" t="s">
        <v>7</v>
      </c>
      <c r="F5" t="s">
        <v>69</v>
      </c>
      <c r="G5" t="s">
        <v>70</v>
      </c>
      <c r="H5" t="s">
        <v>71</v>
      </c>
      <c r="I5" s="4">
        <v>15000</v>
      </c>
      <c r="K5" t="s">
        <v>96</v>
      </c>
      <c r="L5" t="s">
        <v>8</v>
      </c>
      <c r="M5" t="s">
        <v>86</v>
      </c>
      <c r="N5" s="5" t="s">
        <v>97</v>
      </c>
      <c r="O5" s="4">
        <v>4</v>
      </c>
      <c r="P5" s="4">
        <v>0</v>
      </c>
      <c r="U5" s="5"/>
      <c r="V5" s="4"/>
      <c r="W5" s="4"/>
    </row>
    <row r="6" spans="1:23" x14ac:dyDescent="0.25">
      <c r="A6" s="2" t="s">
        <v>15</v>
      </c>
      <c r="B6" s="2" t="s">
        <v>16</v>
      </c>
      <c r="C6" s="2" t="s">
        <v>17</v>
      </c>
      <c r="D6" s="2" t="s">
        <v>11</v>
      </c>
      <c r="F6" t="s">
        <v>72</v>
      </c>
      <c r="G6" t="s">
        <v>73</v>
      </c>
      <c r="H6" t="s">
        <v>71</v>
      </c>
      <c r="I6" s="4">
        <v>8000</v>
      </c>
      <c r="K6" t="s">
        <v>98</v>
      </c>
      <c r="L6" t="s">
        <v>31</v>
      </c>
      <c r="M6" t="s">
        <v>69</v>
      </c>
      <c r="N6" s="5" t="s">
        <v>99</v>
      </c>
      <c r="O6" s="4">
        <v>5</v>
      </c>
      <c r="P6" s="4">
        <v>0</v>
      </c>
      <c r="U6" s="5"/>
      <c r="V6" s="4"/>
      <c r="W6" s="4"/>
    </row>
    <row r="7" spans="1:23" x14ac:dyDescent="0.25">
      <c r="A7" s="2" t="s">
        <v>18</v>
      </c>
      <c r="B7" s="2" t="s">
        <v>19</v>
      </c>
      <c r="C7" s="2" t="s">
        <v>20</v>
      </c>
      <c r="D7" s="2" t="s">
        <v>7</v>
      </c>
      <c r="F7" t="s">
        <v>74</v>
      </c>
      <c r="G7" t="s">
        <v>75</v>
      </c>
      <c r="H7" t="s">
        <v>76</v>
      </c>
      <c r="I7" s="4">
        <v>120000</v>
      </c>
      <c r="K7" t="s">
        <v>100</v>
      </c>
      <c r="L7" t="s">
        <v>49</v>
      </c>
      <c r="M7" t="s">
        <v>77</v>
      </c>
      <c r="N7" s="5" t="s">
        <v>101</v>
      </c>
      <c r="O7" s="4">
        <v>1</v>
      </c>
      <c r="P7" s="4">
        <v>0</v>
      </c>
      <c r="U7" s="5"/>
      <c r="V7" s="4"/>
      <c r="W7" s="4"/>
    </row>
    <row r="8" spans="1:23" x14ac:dyDescent="0.25">
      <c r="A8" s="2" t="s">
        <v>21</v>
      </c>
      <c r="B8" s="2" t="s">
        <v>22</v>
      </c>
      <c r="C8" s="2" t="s">
        <v>23</v>
      </c>
      <c r="D8" s="2" t="s">
        <v>24</v>
      </c>
      <c r="F8" t="s">
        <v>77</v>
      </c>
      <c r="G8" t="s">
        <v>78</v>
      </c>
      <c r="H8" t="s">
        <v>79</v>
      </c>
      <c r="I8" s="4">
        <v>95000</v>
      </c>
      <c r="K8" t="s">
        <v>102</v>
      </c>
      <c r="L8" t="s">
        <v>12</v>
      </c>
      <c r="M8" t="s">
        <v>84</v>
      </c>
      <c r="N8" s="5" t="s">
        <v>103</v>
      </c>
      <c r="O8" s="4">
        <v>2</v>
      </c>
      <c r="P8" s="4">
        <v>0</v>
      </c>
      <c r="U8" s="5"/>
      <c r="V8" s="4"/>
      <c r="W8" s="4"/>
    </row>
    <row r="9" spans="1:23" x14ac:dyDescent="0.25">
      <c r="A9" s="2" t="s">
        <v>25</v>
      </c>
      <c r="B9" s="2" t="s">
        <v>26</v>
      </c>
      <c r="C9" s="2" t="s">
        <v>27</v>
      </c>
      <c r="D9" s="2" t="s">
        <v>7</v>
      </c>
      <c r="F9" t="s">
        <v>80</v>
      </c>
      <c r="G9" t="s">
        <v>81</v>
      </c>
      <c r="H9" t="s">
        <v>79</v>
      </c>
      <c r="I9" s="4">
        <v>140000</v>
      </c>
      <c r="K9" t="s">
        <v>104</v>
      </c>
      <c r="L9" t="s">
        <v>33</v>
      </c>
      <c r="M9" t="s">
        <v>67</v>
      </c>
      <c r="N9" s="5" t="s">
        <v>105</v>
      </c>
      <c r="O9" s="4">
        <v>3</v>
      </c>
      <c r="P9" s="4">
        <v>0.05</v>
      </c>
      <c r="U9" s="5"/>
      <c r="V9" s="4"/>
      <c r="W9" s="4"/>
    </row>
    <row r="10" spans="1:23" x14ac:dyDescent="0.25">
      <c r="A10" s="2" t="s">
        <v>28</v>
      </c>
      <c r="B10" s="2" t="s">
        <v>29</v>
      </c>
      <c r="C10" s="2" t="s">
        <v>30</v>
      </c>
      <c r="D10" s="2" t="s">
        <v>11</v>
      </c>
      <c r="F10" t="s">
        <v>82</v>
      </c>
      <c r="G10" t="s">
        <v>83</v>
      </c>
      <c r="H10" t="s">
        <v>71</v>
      </c>
      <c r="I10" s="4">
        <v>25000</v>
      </c>
      <c r="K10" t="s">
        <v>106</v>
      </c>
      <c r="L10" t="s">
        <v>52</v>
      </c>
      <c r="M10" t="s">
        <v>74</v>
      </c>
      <c r="N10" s="5" t="s">
        <v>107</v>
      </c>
      <c r="O10" s="4">
        <v>4</v>
      </c>
      <c r="P10" s="4">
        <v>0</v>
      </c>
      <c r="U10" s="5"/>
      <c r="V10" s="4"/>
      <c r="W10" s="4"/>
    </row>
    <row r="11" spans="1:23" x14ac:dyDescent="0.25">
      <c r="A11" s="2" t="s">
        <v>31</v>
      </c>
      <c r="B11" s="2" t="s">
        <v>32</v>
      </c>
      <c r="C11" s="2" t="s">
        <v>6</v>
      </c>
      <c r="D11" s="2" t="s">
        <v>24</v>
      </c>
      <c r="F11" t="s">
        <v>84</v>
      </c>
      <c r="G11" t="s">
        <v>85</v>
      </c>
      <c r="H11" t="s">
        <v>66</v>
      </c>
      <c r="I11" s="4">
        <v>220000</v>
      </c>
      <c r="K11" t="s">
        <v>108</v>
      </c>
      <c r="L11" t="s">
        <v>15</v>
      </c>
      <c r="M11" t="s">
        <v>82</v>
      </c>
      <c r="N11" s="5" t="s">
        <v>109</v>
      </c>
      <c r="O11" s="4">
        <v>5</v>
      </c>
      <c r="P11" s="4">
        <v>0</v>
      </c>
      <c r="U11" s="5"/>
      <c r="V11" s="4"/>
      <c r="W11" s="4"/>
    </row>
    <row r="12" spans="1:23" x14ac:dyDescent="0.25">
      <c r="A12" s="2" t="s">
        <v>33</v>
      </c>
      <c r="B12" s="2" t="s">
        <v>34</v>
      </c>
      <c r="C12" s="2" t="s">
        <v>10</v>
      </c>
      <c r="D12" s="2" t="s">
        <v>7</v>
      </c>
      <c r="F12" t="s">
        <v>86</v>
      </c>
      <c r="G12" t="s">
        <v>87</v>
      </c>
      <c r="H12" t="s">
        <v>66</v>
      </c>
      <c r="I12" s="4">
        <v>75000</v>
      </c>
      <c r="K12" t="s">
        <v>110</v>
      </c>
      <c r="L12" t="s">
        <v>302</v>
      </c>
      <c r="M12" t="s">
        <v>64</v>
      </c>
      <c r="N12" s="5" t="s">
        <v>112</v>
      </c>
      <c r="O12" s="4">
        <v>1</v>
      </c>
      <c r="P12" s="4">
        <v>0</v>
      </c>
      <c r="U12" s="5"/>
      <c r="V12" s="4"/>
      <c r="W12" s="4"/>
    </row>
    <row r="13" spans="1:23" x14ac:dyDescent="0.25">
      <c r="A13" s="2" t="s">
        <v>35</v>
      </c>
      <c r="B13" s="2" t="s">
        <v>36</v>
      </c>
      <c r="C13" s="2" t="s">
        <v>37</v>
      </c>
      <c r="D13" s="2" t="s">
        <v>7</v>
      </c>
      <c r="I13" s="4"/>
      <c r="K13" t="s">
        <v>113</v>
      </c>
      <c r="L13" t="s">
        <v>54</v>
      </c>
      <c r="M13" t="s">
        <v>72</v>
      </c>
      <c r="N13" s="5" t="s">
        <v>114</v>
      </c>
      <c r="O13" s="4">
        <v>2</v>
      </c>
      <c r="P13" s="4">
        <v>0.1</v>
      </c>
      <c r="U13" s="5"/>
      <c r="V13" s="4"/>
      <c r="W13" s="4"/>
    </row>
    <row r="14" spans="1:23" x14ac:dyDescent="0.25">
      <c r="A14" s="2" t="s">
        <v>38</v>
      </c>
      <c r="B14" s="2" t="s">
        <v>39</v>
      </c>
      <c r="C14" s="2" t="s">
        <v>40</v>
      </c>
      <c r="D14" s="2" t="s">
        <v>11</v>
      </c>
      <c r="I14" s="4"/>
      <c r="K14" t="s">
        <v>115</v>
      </c>
      <c r="L14" t="s">
        <v>18</v>
      </c>
      <c r="M14" t="s">
        <v>80</v>
      </c>
      <c r="N14" s="5" t="s">
        <v>116</v>
      </c>
      <c r="O14" s="4">
        <v>3</v>
      </c>
      <c r="P14" s="4">
        <v>0</v>
      </c>
      <c r="U14" s="5"/>
      <c r="V14" s="4"/>
      <c r="W14" s="4"/>
    </row>
    <row r="15" spans="1:23" x14ac:dyDescent="0.25">
      <c r="A15" s="2" t="s">
        <v>41</v>
      </c>
      <c r="B15" s="2" t="s">
        <v>42</v>
      </c>
      <c r="C15" s="2" t="s">
        <v>43</v>
      </c>
      <c r="D15" s="2" t="s">
        <v>7</v>
      </c>
      <c r="I15" s="4"/>
      <c r="K15" t="s">
        <v>117</v>
      </c>
      <c r="L15" t="s">
        <v>38</v>
      </c>
      <c r="M15" t="s">
        <v>86</v>
      </c>
      <c r="N15" s="5" t="s">
        <v>118</v>
      </c>
      <c r="O15" s="4">
        <v>4</v>
      </c>
      <c r="P15" s="4">
        <v>0</v>
      </c>
      <c r="U15" s="5"/>
      <c r="V15" s="4"/>
      <c r="W15" s="4"/>
    </row>
    <row r="16" spans="1:23" x14ac:dyDescent="0.25">
      <c r="A16" s="2" t="s">
        <v>44</v>
      </c>
      <c r="B16" s="2" t="s">
        <v>45</v>
      </c>
      <c r="C16" s="2" t="s">
        <v>46</v>
      </c>
      <c r="D16" s="2" t="s">
        <v>24</v>
      </c>
      <c r="I16" s="4"/>
      <c r="K16" t="s">
        <v>119</v>
      </c>
      <c r="L16" t="s">
        <v>56</v>
      </c>
      <c r="M16" t="s">
        <v>69</v>
      </c>
      <c r="N16" s="5" t="s">
        <v>120</v>
      </c>
      <c r="O16" s="4">
        <v>5</v>
      </c>
      <c r="P16" s="4">
        <v>0.05</v>
      </c>
      <c r="U16" s="5"/>
      <c r="V16" s="4"/>
      <c r="W16" s="4"/>
    </row>
    <row r="17" spans="1:23" x14ac:dyDescent="0.25">
      <c r="A17" s="2" t="s">
        <v>47</v>
      </c>
      <c r="B17" s="2" t="s">
        <v>48</v>
      </c>
      <c r="C17" s="2" t="s">
        <v>6</v>
      </c>
      <c r="D17" s="2" t="s">
        <v>11</v>
      </c>
      <c r="I17" s="4"/>
      <c r="K17" t="s">
        <v>121</v>
      </c>
      <c r="L17" t="s">
        <v>21</v>
      </c>
      <c r="M17" t="s">
        <v>77</v>
      </c>
      <c r="N17" s="5" t="s">
        <v>122</v>
      </c>
      <c r="O17" s="4">
        <v>1</v>
      </c>
      <c r="P17" s="4">
        <v>0</v>
      </c>
      <c r="U17" s="5"/>
      <c r="V17" s="4"/>
      <c r="W17" s="4"/>
    </row>
    <row r="18" spans="1:23" x14ac:dyDescent="0.25">
      <c r="A18" s="2" t="s">
        <v>49</v>
      </c>
      <c r="B18" s="2" t="s">
        <v>50</v>
      </c>
      <c r="C18" s="2" t="s">
        <v>51</v>
      </c>
      <c r="D18" s="2" t="s">
        <v>7</v>
      </c>
      <c r="I18" s="4"/>
      <c r="K18" t="s">
        <v>123</v>
      </c>
      <c r="L18" t="s">
        <v>41</v>
      </c>
      <c r="M18" t="s">
        <v>84</v>
      </c>
      <c r="N18" s="5" t="s">
        <v>124</v>
      </c>
      <c r="O18" s="4">
        <v>2</v>
      </c>
      <c r="P18" s="4">
        <v>0</v>
      </c>
      <c r="U18" s="5"/>
      <c r="V18" s="4"/>
      <c r="W18" s="4"/>
    </row>
    <row r="19" spans="1:23" x14ac:dyDescent="0.25">
      <c r="A19" s="2" t="s">
        <v>52</v>
      </c>
      <c r="B19" s="2" t="s">
        <v>53</v>
      </c>
      <c r="C19" s="2" t="s">
        <v>14</v>
      </c>
      <c r="D19" s="2" t="s">
        <v>11</v>
      </c>
      <c r="I19" s="4"/>
      <c r="K19" t="s">
        <v>125</v>
      </c>
      <c r="L19" t="s">
        <v>58</v>
      </c>
      <c r="M19" t="s">
        <v>67</v>
      </c>
      <c r="N19" s="5" t="s">
        <v>126</v>
      </c>
      <c r="O19" s="4">
        <v>3</v>
      </c>
      <c r="P19" s="4">
        <v>0</v>
      </c>
      <c r="U19" s="5"/>
      <c r="V19" s="4"/>
      <c r="W19" s="4"/>
    </row>
    <row r="20" spans="1:23" x14ac:dyDescent="0.25">
      <c r="A20" s="2" t="s">
        <v>54</v>
      </c>
      <c r="B20" s="2" t="s">
        <v>55</v>
      </c>
      <c r="C20" s="2" t="s">
        <v>17</v>
      </c>
      <c r="D20" s="2" t="s">
        <v>7</v>
      </c>
      <c r="I20" s="4"/>
      <c r="K20" t="s">
        <v>127</v>
      </c>
      <c r="L20" t="s">
        <v>25</v>
      </c>
      <c r="M20" t="s">
        <v>74</v>
      </c>
      <c r="N20" s="5" t="s">
        <v>128</v>
      </c>
      <c r="O20" s="4">
        <v>4</v>
      </c>
      <c r="P20" s="4">
        <v>0</v>
      </c>
      <c r="U20" s="5"/>
      <c r="V20" s="4"/>
      <c r="W20" s="4"/>
    </row>
    <row r="21" spans="1:23" x14ac:dyDescent="0.25">
      <c r="A21" s="2" t="s">
        <v>56</v>
      </c>
      <c r="B21" s="2" t="s">
        <v>57</v>
      </c>
      <c r="C21" s="2" t="s">
        <v>20</v>
      </c>
      <c r="D21" s="2" t="s">
        <v>24</v>
      </c>
      <c r="I21" s="4"/>
      <c r="K21" t="s">
        <v>129</v>
      </c>
      <c r="L21" t="s">
        <v>44</v>
      </c>
      <c r="M21" t="s">
        <v>82</v>
      </c>
      <c r="N21" s="5" t="s">
        <v>130</v>
      </c>
      <c r="O21" s="4">
        <v>5</v>
      </c>
      <c r="P21" s="4">
        <v>0</v>
      </c>
      <c r="U21" s="5"/>
      <c r="V21" s="4"/>
      <c r="W21" s="4"/>
    </row>
    <row r="22" spans="1:23" x14ac:dyDescent="0.25">
      <c r="A22" s="2" t="s">
        <v>58</v>
      </c>
      <c r="B22" s="2" t="s">
        <v>59</v>
      </c>
      <c r="C22" s="2" t="s">
        <v>23</v>
      </c>
      <c r="D22" s="2" t="s">
        <v>11</v>
      </c>
      <c r="I22" s="4"/>
      <c r="K22" t="s">
        <v>131</v>
      </c>
      <c r="L22" t="s">
        <v>4</v>
      </c>
      <c r="M22" t="s">
        <v>64</v>
      </c>
      <c r="N22" s="5" t="s">
        <v>132</v>
      </c>
      <c r="O22" s="4">
        <v>1</v>
      </c>
      <c r="P22" s="4">
        <v>0</v>
      </c>
      <c r="U22" s="5"/>
      <c r="V22" s="4"/>
      <c r="W22" s="4"/>
    </row>
    <row r="23" spans="1:23" x14ac:dyDescent="0.25">
      <c r="I23" s="4"/>
      <c r="K23" t="s">
        <v>133</v>
      </c>
      <c r="L23" t="s">
        <v>28</v>
      </c>
      <c r="M23" t="s">
        <v>72</v>
      </c>
      <c r="N23" s="5" t="s">
        <v>134</v>
      </c>
      <c r="O23" s="4">
        <v>2</v>
      </c>
      <c r="P23" s="4">
        <v>0.05</v>
      </c>
      <c r="U23" s="5"/>
      <c r="V23" s="4"/>
      <c r="W23" s="4"/>
    </row>
    <row r="24" spans="1:23" x14ac:dyDescent="0.25">
      <c r="I24" s="4"/>
      <c r="K24" t="s">
        <v>135</v>
      </c>
      <c r="L24" t="s">
        <v>47</v>
      </c>
      <c r="M24" t="s">
        <v>80</v>
      </c>
      <c r="N24" s="5" t="s">
        <v>136</v>
      </c>
      <c r="O24" s="4">
        <v>3</v>
      </c>
      <c r="P24" s="4">
        <v>0.1</v>
      </c>
      <c r="U24" s="5"/>
      <c r="V24" s="4"/>
      <c r="W24" s="4"/>
    </row>
    <row r="25" spans="1:23" x14ac:dyDescent="0.25">
      <c r="I25" s="4"/>
      <c r="K25" t="s">
        <v>137</v>
      </c>
      <c r="L25" t="s">
        <v>8</v>
      </c>
      <c r="M25" t="s">
        <v>86</v>
      </c>
      <c r="N25" s="5" t="s">
        <v>138</v>
      </c>
      <c r="O25" s="4">
        <v>4</v>
      </c>
      <c r="P25" s="4">
        <v>0</v>
      </c>
      <c r="U25" s="5"/>
      <c r="V25" s="4"/>
      <c r="W25" s="4"/>
    </row>
    <row r="26" spans="1:23" x14ac:dyDescent="0.25">
      <c r="I26" s="4"/>
      <c r="K26" t="s">
        <v>139</v>
      </c>
      <c r="L26" t="s">
        <v>31</v>
      </c>
      <c r="M26" t="s">
        <v>69</v>
      </c>
      <c r="N26" s="5" t="s">
        <v>140</v>
      </c>
      <c r="O26" s="4">
        <v>5</v>
      </c>
      <c r="P26" s="4">
        <v>0</v>
      </c>
      <c r="U26" s="5"/>
      <c r="V26" s="4"/>
      <c r="W26" s="4"/>
    </row>
    <row r="27" spans="1:23" x14ac:dyDescent="0.25">
      <c r="I27" s="4"/>
      <c r="K27" t="s">
        <v>141</v>
      </c>
      <c r="L27" t="s">
        <v>49</v>
      </c>
      <c r="M27" t="s">
        <v>77</v>
      </c>
      <c r="N27" s="5" t="s">
        <v>142</v>
      </c>
      <c r="O27" s="4">
        <v>1</v>
      </c>
      <c r="P27" s="4">
        <v>0</v>
      </c>
      <c r="U27" s="5"/>
      <c r="V27" s="4"/>
      <c r="W27" s="4"/>
    </row>
    <row r="28" spans="1:23" x14ac:dyDescent="0.25">
      <c r="I28" s="4"/>
      <c r="K28" t="s">
        <v>143</v>
      </c>
      <c r="L28" t="s">
        <v>12</v>
      </c>
      <c r="M28" t="s">
        <v>84</v>
      </c>
      <c r="N28" s="5" t="s">
        <v>144</v>
      </c>
      <c r="O28" s="4">
        <v>2</v>
      </c>
      <c r="P28" s="4">
        <v>0</v>
      </c>
      <c r="U28" s="5"/>
      <c r="V28" s="4"/>
      <c r="W28" s="4"/>
    </row>
    <row r="29" spans="1:23" x14ac:dyDescent="0.25">
      <c r="I29" s="4"/>
      <c r="K29" t="s">
        <v>145</v>
      </c>
      <c r="L29" t="s">
        <v>33</v>
      </c>
      <c r="M29" t="s">
        <v>67</v>
      </c>
      <c r="N29" s="5" t="s">
        <v>146</v>
      </c>
      <c r="O29" s="4">
        <v>3</v>
      </c>
      <c r="P29" s="4">
        <v>0</v>
      </c>
      <c r="U29" s="5"/>
      <c r="V29" s="4"/>
      <c r="W29" s="4"/>
    </row>
    <row r="30" spans="1:23" x14ac:dyDescent="0.25">
      <c r="I30" s="4"/>
      <c r="K30" t="s">
        <v>147</v>
      </c>
      <c r="L30" t="s">
        <v>52</v>
      </c>
      <c r="M30" t="s">
        <v>74</v>
      </c>
      <c r="N30" s="5" t="s">
        <v>148</v>
      </c>
      <c r="O30" s="4">
        <v>4</v>
      </c>
      <c r="P30" s="4">
        <v>0.05</v>
      </c>
      <c r="U30" s="5"/>
      <c r="V30" s="4"/>
      <c r="W30" s="4"/>
    </row>
    <row r="31" spans="1:23" x14ac:dyDescent="0.25">
      <c r="I31" s="4"/>
      <c r="K31" t="s">
        <v>149</v>
      </c>
      <c r="L31" t="s">
        <v>15</v>
      </c>
      <c r="M31" t="s">
        <v>82</v>
      </c>
      <c r="N31" s="5" t="s">
        <v>150</v>
      </c>
      <c r="O31" s="4">
        <v>5</v>
      </c>
      <c r="P31" s="4">
        <v>0</v>
      </c>
      <c r="U31" s="5"/>
      <c r="V31" s="4"/>
      <c r="W31" s="4"/>
    </row>
    <row r="32" spans="1:23" x14ac:dyDescent="0.25">
      <c r="I32" s="4"/>
      <c r="K32" t="s">
        <v>151</v>
      </c>
      <c r="L32" t="s">
        <v>35</v>
      </c>
      <c r="M32" t="s">
        <v>64</v>
      </c>
      <c r="N32" s="5" t="s">
        <v>152</v>
      </c>
      <c r="O32" s="4">
        <v>1</v>
      </c>
      <c r="P32" s="4">
        <v>0</v>
      </c>
      <c r="U32" s="5"/>
      <c r="V32" s="4"/>
      <c r="W32" s="4"/>
    </row>
    <row r="33" spans="9:23" x14ac:dyDescent="0.25">
      <c r="I33" s="4"/>
      <c r="K33" t="s">
        <v>153</v>
      </c>
      <c r="L33" t="s">
        <v>54</v>
      </c>
      <c r="M33" t="s">
        <v>72</v>
      </c>
      <c r="N33" s="5" t="s">
        <v>154</v>
      </c>
      <c r="O33" s="4">
        <v>2</v>
      </c>
      <c r="P33" s="4">
        <v>0</v>
      </c>
      <c r="U33" s="5"/>
      <c r="V33" s="4"/>
      <c r="W33" s="4"/>
    </row>
    <row r="34" spans="9:23" x14ac:dyDescent="0.25">
      <c r="I34" s="4"/>
      <c r="K34" t="s">
        <v>155</v>
      </c>
      <c r="L34" t="s">
        <v>18</v>
      </c>
      <c r="M34" t="s">
        <v>80</v>
      </c>
      <c r="N34" s="5" t="s">
        <v>156</v>
      </c>
      <c r="O34" s="4">
        <v>3</v>
      </c>
      <c r="P34" s="4">
        <v>0</v>
      </c>
      <c r="U34" s="5"/>
      <c r="V34" s="4"/>
      <c r="W34" s="4"/>
    </row>
    <row r="35" spans="9:23" x14ac:dyDescent="0.25">
      <c r="I35" s="4"/>
      <c r="K35" t="s">
        <v>157</v>
      </c>
      <c r="L35" t="s">
        <v>38</v>
      </c>
      <c r="M35" t="s">
        <v>86</v>
      </c>
      <c r="N35" s="5" t="s">
        <v>158</v>
      </c>
      <c r="O35" s="4">
        <v>4</v>
      </c>
      <c r="P35" s="4">
        <v>0.1</v>
      </c>
      <c r="U35" s="5"/>
      <c r="V35" s="4"/>
      <c r="W35" s="4"/>
    </row>
    <row r="36" spans="9:23" x14ac:dyDescent="0.25">
      <c r="I36" s="4"/>
      <c r="K36" t="s">
        <v>159</v>
      </c>
      <c r="L36" t="s">
        <v>56</v>
      </c>
      <c r="M36" t="s">
        <v>69</v>
      </c>
      <c r="N36" s="5" t="s">
        <v>160</v>
      </c>
      <c r="O36" s="4">
        <v>5</v>
      </c>
      <c r="P36" s="4">
        <v>0</v>
      </c>
      <c r="U36" s="5"/>
      <c r="V36" s="4"/>
      <c r="W36" s="4"/>
    </row>
    <row r="37" spans="9:23" x14ac:dyDescent="0.25">
      <c r="I37" s="4"/>
      <c r="K37" t="s">
        <v>161</v>
      </c>
      <c r="L37" t="s">
        <v>21</v>
      </c>
      <c r="M37" t="s">
        <v>77</v>
      </c>
      <c r="N37" s="5" t="s">
        <v>162</v>
      </c>
      <c r="O37" s="4">
        <v>1</v>
      </c>
      <c r="P37" s="4">
        <v>0.05</v>
      </c>
      <c r="U37" s="5"/>
      <c r="V37" s="4"/>
      <c r="W37" s="4"/>
    </row>
    <row r="38" spans="9:23" x14ac:dyDescent="0.25">
      <c r="I38" s="4"/>
      <c r="K38" t="s">
        <v>163</v>
      </c>
      <c r="L38" t="s">
        <v>41</v>
      </c>
      <c r="M38" t="s">
        <v>84</v>
      </c>
      <c r="N38" s="5" t="s">
        <v>164</v>
      </c>
      <c r="O38" s="4">
        <v>2</v>
      </c>
      <c r="P38" s="4">
        <v>0</v>
      </c>
      <c r="U38" s="5"/>
      <c r="V38" s="4"/>
      <c r="W38" s="4"/>
    </row>
    <row r="39" spans="9:23" x14ac:dyDescent="0.25">
      <c r="I39" s="4"/>
      <c r="K39" t="s">
        <v>165</v>
      </c>
      <c r="L39" t="s">
        <v>58</v>
      </c>
      <c r="M39" t="s">
        <v>67</v>
      </c>
      <c r="N39" s="5" t="s">
        <v>166</v>
      </c>
      <c r="O39" s="4">
        <v>3</v>
      </c>
      <c r="P39" s="4">
        <v>0</v>
      </c>
      <c r="U39" s="5"/>
      <c r="V39" s="4"/>
      <c r="W39" s="4"/>
    </row>
    <row r="40" spans="9:23" x14ac:dyDescent="0.25">
      <c r="I40" s="4"/>
      <c r="K40" t="s">
        <v>167</v>
      </c>
      <c r="L40" t="s">
        <v>25</v>
      </c>
      <c r="M40" t="s">
        <v>74</v>
      </c>
      <c r="N40" s="5" t="s">
        <v>168</v>
      </c>
      <c r="O40" s="4">
        <v>4</v>
      </c>
      <c r="P40" s="4">
        <v>0</v>
      </c>
      <c r="U40" s="5"/>
      <c r="V40" s="4"/>
      <c r="W40" s="4"/>
    </row>
    <row r="41" spans="9:23" x14ac:dyDescent="0.25">
      <c r="I41" s="4"/>
      <c r="K41" t="s">
        <v>169</v>
      </c>
      <c r="L41" t="s">
        <v>44</v>
      </c>
      <c r="M41" t="s">
        <v>82</v>
      </c>
      <c r="N41" s="5" t="s">
        <v>170</v>
      </c>
      <c r="O41" s="4">
        <v>5</v>
      </c>
      <c r="P41" s="4">
        <v>0</v>
      </c>
      <c r="U41" s="5"/>
      <c r="V41" s="4"/>
      <c r="W41" s="4"/>
    </row>
    <row r="42" spans="9:23" x14ac:dyDescent="0.25">
      <c r="I42" s="4"/>
      <c r="K42" t="s">
        <v>171</v>
      </c>
      <c r="L42" t="s">
        <v>172</v>
      </c>
      <c r="M42" t="s">
        <v>64</v>
      </c>
      <c r="N42" s="5" t="s">
        <v>173</v>
      </c>
      <c r="O42" s="4">
        <v>1</v>
      </c>
      <c r="P42" s="4">
        <v>0</v>
      </c>
      <c r="U42" s="5"/>
      <c r="V42" s="4"/>
      <c r="W42" s="4"/>
    </row>
    <row r="43" spans="9:23" x14ac:dyDescent="0.25">
      <c r="I43" s="4"/>
      <c r="K43" t="s">
        <v>174</v>
      </c>
      <c r="L43" t="s">
        <v>28</v>
      </c>
      <c r="M43" t="s">
        <v>72</v>
      </c>
      <c r="N43" s="5" t="s">
        <v>175</v>
      </c>
      <c r="O43" s="4">
        <v>2</v>
      </c>
      <c r="P43" s="4">
        <v>0</v>
      </c>
      <c r="U43" s="5"/>
      <c r="V43" s="4"/>
      <c r="W43" s="4"/>
    </row>
    <row r="44" spans="9:23" x14ac:dyDescent="0.25">
      <c r="I44" s="4"/>
      <c r="K44" t="s">
        <v>176</v>
      </c>
      <c r="L44" t="s">
        <v>47</v>
      </c>
      <c r="M44" t="s">
        <v>80</v>
      </c>
      <c r="N44" s="5" t="s">
        <v>177</v>
      </c>
      <c r="O44" s="4">
        <v>3</v>
      </c>
      <c r="P44" s="4">
        <v>0.05</v>
      </c>
      <c r="U44" s="5"/>
      <c r="V44" s="4"/>
      <c r="W44" s="4"/>
    </row>
    <row r="45" spans="9:23" x14ac:dyDescent="0.25">
      <c r="I45" s="4"/>
      <c r="K45" t="s">
        <v>178</v>
      </c>
      <c r="L45" t="s">
        <v>8</v>
      </c>
      <c r="M45" t="s">
        <v>86</v>
      </c>
      <c r="N45" s="5" t="s">
        <v>179</v>
      </c>
      <c r="O45" s="4">
        <v>4</v>
      </c>
      <c r="P45" s="4">
        <v>0</v>
      </c>
      <c r="U45" s="5"/>
      <c r="V45" s="4"/>
      <c r="W45" s="4"/>
    </row>
    <row r="46" spans="9:23" x14ac:dyDescent="0.25">
      <c r="I46" s="4"/>
      <c r="K46" t="s">
        <v>180</v>
      </c>
      <c r="L46" t="s">
        <v>31</v>
      </c>
      <c r="M46" t="s">
        <v>69</v>
      </c>
      <c r="N46" s="5" t="s">
        <v>181</v>
      </c>
      <c r="O46" s="4">
        <v>5</v>
      </c>
      <c r="P46" s="4">
        <v>0.1</v>
      </c>
      <c r="U46" s="5"/>
      <c r="V46" s="4"/>
      <c r="W46" s="4"/>
    </row>
    <row r="47" spans="9:23" x14ac:dyDescent="0.25">
      <c r="I47" s="4"/>
      <c r="K47" t="s">
        <v>182</v>
      </c>
      <c r="L47" t="s">
        <v>49</v>
      </c>
      <c r="M47" t="s">
        <v>77</v>
      </c>
      <c r="N47" s="5" t="s">
        <v>183</v>
      </c>
      <c r="O47" s="4">
        <v>1</v>
      </c>
      <c r="P47" s="4">
        <v>0</v>
      </c>
      <c r="U47" s="5"/>
      <c r="V47" s="4"/>
      <c r="W47" s="4"/>
    </row>
    <row r="48" spans="9:23" x14ac:dyDescent="0.25">
      <c r="I48" s="4"/>
      <c r="K48" t="s">
        <v>184</v>
      </c>
      <c r="L48" t="s">
        <v>12</v>
      </c>
      <c r="M48" t="s">
        <v>84</v>
      </c>
      <c r="N48" s="5" t="s">
        <v>185</v>
      </c>
      <c r="O48" s="4">
        <v>2</v>
      </c>
      <c r="P48" s="4">
        <v>0</v>
      </c>
      <c r="U48" s="5"/>
      <c r="V48" s="4"/>
      <c r="W48" s="4"/>
    </row>
    <row r="49" spans="9:23" x14ac:dyDescent="0.25">
      <c r="I49" s="4"/>
      <c r="K49" t="s">
        <v>186</v>
      </c>
      <c r="L49" t="s">
        <v>33</v>
      </c>
      <c r="M49" t="s">
        <v>67</v>
      </c>
      <c r="N49" s="5" t="s">
        <v>187</v>
      </c>
      <c r="O49" s="4">
        <v>3</v>
      </c>
      <c r="P49" s="4">
        <v>0</v>
      </c>
      <c r="U49" s="5"/>
      <c r="V49" s="4"/>
      <c r="W49" s="4"/>
    </row>
    <row r="50" spans="9:23" x14ac:dyDescent="0.25">
      <c r="I50" s="4"/>
      <c r="K50" t="s">
        <v>188</v>
      </c>
      <c r="L50" t="s">
        <v>52</v>
      </c>
      <c r="M50" t="s">
        <v>74</v>
      </c>
      <c r="N50" s="5" t="s">
        <v>189</v>
      </c>
      <c r="O50" s="4">
        <v>4</v>
      </c>
      <c r="P50" s="4">
        <v>0</v>
      </c>
      <c r="U50" s="5"/>
      <c r="V50" s="4"/>
      <c r="W50" s="4"/>
    </row>
    <row r="51" spans="9:23" x14ac:dyDescent="0.25">
      <c r="I51" s="4"/>
      <c r="K51" t="s">
        <v>190</v>
      </c>
      <c r="L51" t="s">
        <v>15</v>
      </c>
      <c r="M51" t="s">
        <v>82</v>
      </c>
      <c r="N51" s="5" t="s">
        <v>191</v>
      </c>
      <c r="O51" s="4">
        <v>5</v>
      </c>
      <c r="P51" s="4">
        <v>0.05</v>
      </c>
      <c r="U51" s="5"/>
      <c r="V51" s="4"/>
      <c r="W51" s="4"/>
    </row>
    <row r="52" spans="9:23" x14ac:dyDescent="0.25">
      <c r="I52" s="4"/>
      <c r="K52" t="s">
        <v>192</v>
      </c>
      <c r="L52" t="s">
        <v>35</v>
      </c>
      <c r="M52" t="s">
        <v>64</v>
      </c>
      <c r="N52" s="5" t="s">
        <v>193</v>
      </c>
      <c r="O52" s="4">
        <v>1</v>
      </c>
      <c r="P52" s="4">
        <v>0</v>
      </c>
      <c r="U52" s="5"/>
      <c r="V52" s="4"/>
      <c r="W52" s="4"/>
    </row>
    <row r="53" spans="9:23" x14ac:dyDescent="0.25">
      <c r="I53" s="4"/>
      <c r="K53" t="s">
        <v>194</v>
      </c>
      <c r="L53" t="s">
        <v>54</v>
      </c>
      <c r="M53" t="s">
        <v>72</v>
      </c>
      <c r="N53" s="5" t="s">
        <v>195</v>
      </c>
      <c r="O53" s="4">
        <v>2</v>
      </c>
      <c r="P53" s="4">
        <v>0</v>
      </c>
      <c r="U53" s="5"/>
      <c r="V53" s="4"/>
      <c r="W53" s="4"/>
    </row>
    <row r="54" spans="9:23" x14ac:dyDescent="0.25">
      <c r="I54" s="4"/>
      <c r="K54" t="s">
        <v>196</v>
      </c>
      <c r="L54" t="s">
        <v>18</v>
      </c>
      <c r="M54" t="s">
        <v>80</v>
      </c>
      <c r="N54" s="5" t="s">
        <v>197</v>
      </c>
      <c r="O54" s="4">
        <v>3</v>
      </c>
      <c r="P54" s="4">
        <v>0</v>
      </c>
      <c r="U54" s="5"/>
      <c r="V54" s="4"/>
      <c r="W54" s="4"/>
    </row>
    <row r="55" spans="9:23" x14ac:dyDescent="0.25">
      <c r="I55" s="4"/>
      <c r="K55" t="s">
        <v>198</v>
      </c>
      <c r="L55" t="s">
        <v>38</v>
      </c>
      <c r="M55" t="s">
        <v>86</v>
      </c>
      <c r="N55" s="5" t="s">
        <v>199</v>
      </c>
      <c r="O55" s="4">
        <v>4</v>
      </c>
      <c r="P55" s="4">
        <v>0</v>
      </c>
      <c r="U55" s="5"/>
      <c r="V55" s="4"/>
      <c r="W55" s="4"/>
    </row>
    <row r="56" spans="9:23" x14ac:dyDescent="0.25">
      <c r="I56" s="4"/>
      <c r="K56" t="s">
        <v>200</v>
      </c>
      <c r="L56" t="s">
        <v>56</v>
      </c>
      <c r="M56" t="s">
        <v>69</v>
      </c>
      <c r="N56" s="5" t="s">
        <v>201</v>
      </c>
      <c r="O56" s="4">
        <v>5</v>
      </c>
      <c r="P56" s="4">
        <v>0</v>
      </c>
      <c r="U56" s="5"/>
      <c r="V56" s="4"/>
      <c r="W56" s="4"/>
    </row>
    <row r="57" spans="9:23" x14ac:dyDescent="0.25">
      <c r="I57" s="4"/>
      <c r="K57" t="s">
        <v>202</v>
      </c>
      <c r="L57" t="s">
        <v>21</v>
      </c>
      <c r="M57" t="s">
        <v>77</v>
      </c>
      <c r="N57" s="5" t="s">
        <v>93</v>
      </c>
      <c r="O57" s="4">
        <v>1</v>
      </c>
      <c r="P57" s="4">
        <v>0.1</v>
      </c>
      <c r="U57" s="5"/>
      <c r="V57" s="4"/>
      <c r="W57" s="4"/>
    </row>
    <row r="58" spans="9:23" x14ac:dyDescent="0.25">
      <c r="I58" s="4"/>
      <c r="K58" t="s">
        <v>203</v>
      </c>
      <c r="L58" t="s">
        <v>41</v>
      </c>
      <c r="M58" t="s">
        <v>84</v>
      </c>
      <c r="N58" s="5" t="s">
        <v>95</v>
      </c>
      <c r="O58" s="4">
        <v>2</v>
      </c>
      <c r="P58" s="4">
        <v>0.05</v>
      </c>
      <c r="U58" s="5"/>
      <c r="V58" s="4"/>
      <c r="W58" s="4"/>
    </row>
    <row r="59" spans="9:23" x14ac:dyDescent="0.25">
      <c r="I59" s="4"/>
      <c r="K59" t="s">
        <v>204</v>
      </c>
      <c r="L59" t="s">
        <v>58</v>
      </c>
      <c r="M59" t="s">
        <v>67</v>
      </c>
      <c r="N59" s="5" t="s">
        <v>97</v>
      </c>
      <c r="O59" s="4">
        <v>3</v>
      </c>
      <c r="P59" s="4">
        <v>0</v>
      </c>
      <c r="U59" s="5"/>
      <c r="V59" s="4"/>
      <c r="W59" s="4"/>
    </row>
    <row r="60" spans="9:23" x14ac:dyDescent="0.25">
      <c r="I60" s="4"/>
      <c r="K60" t="s">
        <v>205</v>
      </c>
      <c r="L60" t="s">
        <v>25</v>
      </c>
      <c r="M60" t="s">
        <v>74</v>
      </c>
      <c r="N60" s="5" t="s">
        <v>99</v>
      </c>
      <c r="O60" s="4">
        <v>4</v>
      </c>
      <c r="P60" s="4">
        <v>0</v>
      </c>
      <c r="U60" s="5"/>
      <c r="V60" s="4"/>
      <c r="W60" s="4"/>
    </row>
    <row r="61" spans="9:23" x14ac:dyDescent="0.25">
      <c r="I61" s="4"/>
      <c r="K61" t="s">
        <v>206</v>
      </c>
      <c r="L61" t="s">
        <v>44</v>
      </c>
      <c r="M61" t="s">
        <v>82</v>
      </c>
      <c r="N61" s="5" t="s">
        <v>101</v>
      </c>
      <c r="O61" s="4">
        <v>5</v>
      </c>
      <c r="P61" s="4">
        <v>0</v>
      </c>
      <c r="U61" s="5"/>
      <c r="V61" s="4"/>
      <c r="W61" s="4"/>
    </row>
    <row r="62" spans="9:23" x14ac:dyDescent="0.25">
      <c r="I62" s="4"/>
      <c r="K62" t="s">
        <v>207</v>
      </c>
      <c r="L62" t="s">
        <v>4</v>
      </c>
      <c r="M62" t="s">
        <v>64</v>
      </c>
      <c r="N62" s="5" t="s">
        <v>103</v>
      </c>
      <c r="O62" s="4">
        <v>1</v>
      </c>
      <c r="P62" s="4">
        <v>0</v>
      </c>
      <c r="U62" s="5"/>
      <c r="V62" s="4"/>
      <c r="W62" s="4"/>
    </row>
    <row r="63" spans="9:23" x14ac:dyDescent="0.25">
      <c r="I63" s="4"/>
      <c r="K63" t="s">
        <v>208</v>
      </c>
      <c r="L63" t="s">
        <v>28</v>
      </c>
      <c r="M63" t="s">
        <v>72</v>
      </c>
      <c r="N63" s="5" t="s">
        <v>105</v>
      </c>
      <c r="O63" s="4">
        <v>2</v>
      </c>
      <c r="P63" s="4">
        <v>0</v>
      </c>
      <c r="U63" s="5"/>
      <c r="V63" s="4"/>
      <c r="W63" s="4"/>
    </row>
    <row r="64" spans="9:23" x14ac:dyDescent="0.25">
      <c r="I64" s="4"/>
      <c r="K64" t="s">
        <v>209</v>
      </c>
      <c r="L64" t="s">
        <v>47</v>
      </c>
      <c r="M64" t="s">
        <v>80</v>
      </c>
      <c r="N64" s="5" t="s">
        <v>107</v>
      </c>
      <c r="O64" s="4">
        <v>3</v>
      </c>
      <c r="P64" s="4">
        <v>0</v>
      </c>
      <c r="U64" s="5"/>
      <c r="V64" s="4"/>
      <c r="W64" s="4"/>
    </row>
    <row r="65" spans="9:23" x14ac:dyDescent="0.25">
      <c r="I65" s="4"/>
      <c r="K65" t="s">
        <v>210</v>
      </c>
      <c r="L65" t="s">
        <v>8</v>
      </c>
      <c r="M65" t="s">
        <v>86</v>
      </c>
      <c r="N65" s="5" t="s">
        <v>109</v>
      </c>
      <c r="O65" s="4">
        <v>4</v>
      </c>
      <c r="P65" s="4">
        <v>0.05</v>
      </c>
      <c r="U65" s="5"/>
      <c r="V65" s="4"/>
      <c r="W65" s="4"/>
    </row>
    <row r="66" spans="9:23" x14ac:dyDescent="0.25">
      <c r="I66" s="4"/>
      <c r="K66" t="s">
        <v>211</v>
      </c>
      <c r="L66" t="s">
        <v>31</v>
      </c>
      <c r="M66" t="s">
        <v>69</v>
      </c>
      <c r="N66" s="5" t="s">
        <v>112</v>
      </c>
      <c r="O66" s="4">
        <v>5</v>
      </c>
      <c r="P66" s="4">
        <v>0</v>
      </c>
      <c r="U66" s="5"/>
      <c r="V66" s="4"/>
      <c r="W66" s="4"/>
    </row>
    <row r="67" spans="9:23" x14ac:dyDescent="0.25">
      <c r="I67" s="4"/>
      <c r="K67" t="s">
        <v>212</v>
      </c>
      <c r="L67" t="s">
        <v>49</v>
      </c>
      <c r="M67" t="s">
        <v>77</v>
      </c>
      <c r="N67" s="5" t="s">
        <v>114</v>
      </c>
      <c r="O67" s="4">
        <v>1</v>
      </c>
      <c r="P67" s="4">
        <v>0</v>
      </c>
      <c r="U67" s="5"/>
      <c r="V67" s="4"/>
      <c r="W67" s="4"/>
    </row>
    <row r="68" spans="9:23" x14ac:dyDescent="0.25">
      <c r="I68" s="4"/>
      <c r="K68" t="s">
        <v>213</v>
      </c>
      <c r="L68" t="s">
        <v>12</v>
      </c>
      <c r="M68" t="s">
        <v>84</v>
      </c>
      <c r="N68" s="5" t="s">
        <v>116</v>
      </c>
      <c r="O68" s="4">
        <v>2</v>
      </c>
      <c r="P68" s="4">
        <v>0.1</v>
      </c>
      <c r="U68" s="5"/>
      <c r="V68" s="4"/>
      <c r="W68" s="4"/>
    </row>
    <row r="69" spans="9:23" x14ac:dyDescent="0.25">
      <c r="I69" s="4"/>
      <c r="K69" t="s">
        <v>214</v>
      </c>
      <c r="L69" t="s">
        <v>33</v>
      </c>
      <c r="M69" t="s">
        <v>67</v>
      </c>
      <c r="N69" s="5" t="s">
        <v>118</v>
      </c>
      <c r="O69" s="4">
        <v>3</v>
      </c>
      <c r="P69" s="4">
        <v>0</v>
      </c>
      <c r="U69" s="5"/>
      <c r="V69" s="4"/>
      <c r="W69" s="4"/>
    </row>
    <row r="70" spans="9:23" x14ac:dyDescent="0.25">
      <c r="I70" s="4"/>
      <c r="K70" t="s">
        <v>215</v>
      </c>
      <c r="L70" t="s">
        <v>52</v>
      </c>
      <c r="M70" t="s">
        <v>74</v>
      </c>
      <c r="N70" s="5" t="s">
        <v>120</v>
      </c>
      <c r="O70" s="4">
        <v>4</v>
      </c>
      <c r="P70" s="4">
        <v>0</v>
      </c>
      <c r="U70" s="5"/>
      <c r="V70" s="4"/>
      <c r="W70" s="4"/>
    </row>
    <row r="71" spans="9:23" x14ac:dyDescent="0.25">
      <c r="I71" s="4"/>
      <c r="K71" t="s">
        <v>216</v>
      </c>
      <c r="L71" t="s">
        <v>15</v>
      </c>
      <c r="M71" t="s">
        <v>82</v>
      </c>
      <c r="N71" s="5" t="s">
        <v>122</v>
      </c>
      <c r="O71" s="4">
        <v>5</v>
      </c>
      <c r="P71" s="4">
        <v>0</v>
      </c>
      <c r="U71" s="5"/>
      <c r="V71" s="4"/>
      <c r="W71" s="4"/>
    </row>
    <row r="72" spans="9:23" x14ac:dyDescent="0.25">
      <c r="I72" s="4"/>
      <c r="K72" t="s">
        <v>217</v>
      </c>
      <c r="L72" t="s">
        <v>35</v>
      </c>
      <c r="M72" t="s">
        <v>64</v>
      </c>
      <c r="N72" s="5" t="s">
        <v>124</v>
      </c>
      <c r="O72" s="4">
        <v>1</v>
      </c>
      <c r="P72" s="4">
        <v>0.05</v>
      </c>
      <c r="U72" s="5"/>
      <c r="V72" s="4"/>
      <c r="W72" s="4"/>
    </row>
    <row r="73" spans="9:23" x14ac:dyDescent="0.25">
      <c r="I73" s="4"/>
      <c r="K73" t="s">
        <v>218</v>
      </c>
      <c r="L73" t="s">
        <v>54</v>
      </c>
      <c r="M73" t="s">
        <v>72</v>
      </c>
      <c r="N73" s="5" t="s">
        <v>126</v>
      </c>
      <c r="O73" s="4">
        <v>2</v>
      </c>
      <c r="P73" s="4">
        <v>0</v>
      </c>
      <c r="U73" s="5"/>
      <c r="V73" s="4"/>
      <c r="W73" s="4"/>
    </row>
    <row r="74" spans="9:23" x14ac:dyDescent="0.25">
      <c r="I74" s="4"/>
      <c r="K74" t="s">
        <v>219</v>
      </c>
      <c r="L74" t="s">
        <v>18</v>
      </c>
      <c r="M74" t="s">
        <v>80</v>
      </c>
      <c r="N74" s="5" t="s">
        <v>128</v>
      </c>
      <c r="O74" s="4">
        <v>3</v>
      </c>
      <c r="P74" s="4">
        <v>0</v>
      </c>
      <c r="U74" s="5"/>
      <c r="V74" s="4"/>
      <c r="W74" s="4"/>
    </row>
    <row r="75" spans="9:23" x14ac:dyDescent="0.25">
      <c r="I75" s="4"/>
      <c r="K75" t="s">
        <v>220</v>
      </c>
      <c r="L75" t="s">
        <v>38</v>
      </c>
      <c r="M75" t="s">
        <v>86</v>
      </c>
      <c r="N75" s="5" t="s">
        <v>130</v>
      </c>
      <c r="O75" s="4">
        <v>4</v>
      </c>
      <c r="P75" s="4">
        <v>0</v>
      </c>
      <c r="U75" s="5"/>
      <c r="V75" s="4"/>
      <c r="W75" s="4"/>
    </row>
    <row r="76" spans="9:23" x14ac:dyDescent="0.25">
      <c r="I76" s="4"/>
      <c r="K76" t="s">
        <v>221</v>
      </c>
      <c r="L76" t="s">
        <v>56</v>
      </c>
      <c r="M76" t="s">
        <v>69</v>
      </c>
      <c r="N76" s="5" t="s">
        <v>132</v>
      </c>
      <c r="O76" s="4">
        <v>5</v>
      </c>
      <c r="P76" s="4">
        <v>0</v>
      </c>
      <c r="U76" s="5"/>
      <c r="V76" s="4"/>
      <c r="W76" s="4"/>
    </row>
    <row r="77" spans="9:23" x14ac:dyDescent="0.25">
      <c r="I77" s="4"/>
      <c r="K77" t="s">
        <v>222</v>
      </c>
      <c r="L77" t="s">
        <v>21</v>
      </c>
      <c r="M77" t="s">
        <v>77</v>
      </c>
      <c r="N77" s="5" t="s">
        <v>134</v>
      </c>
      <c r="O77" s="4">
        <v>1</v>
      </c>
      <c r="P77" s="4">
        <v>0</v>
      </c>
      <c r="U77" s="5"/>
      <c r="V77" s="4"/>
      <c r="W77" s="4"/>
    </row>
    <row r="78" spans="9:23" x14ac:dyDescent="0.25">
      <c r="I78" s="4"/>
      <c r="K78" t="s">
        <v>223</v>
      </c>
      <c r="L78" t="s">
        <v>41</v>
      </c>
      <c r="M78" t="s">
        <v>84</v>
      </c>
      <c r="N78" s="5" t="s">
        <v>136</v>
      </c>
      <c r="O78" s="4">
        <v>2</v>
      </c>
      <c r="P78" s="4">
        <v>0</v>
      </c>
      <c r="U78" s="5"/>
      <c r="V78" s="4"/>
      <c r="W78" s="4"/>
    </row>
    <row r="79" spans="9:23" x14ac:dyDescent="0.25">
      <c r="I79" s="4"/>
      <c r="K79" t="s">
        <v>224</v>
      </c>
      <c r="L79" t="s">
        <v>58</v>
      </c>
      <c r="M79" t="s">
        <v>67</v>
      </c>
      <c r="N79" s="5" t="s">
        <v>138</v>
      </c>
      <c r="O79" s="4">
        <v>3</v>
      </c>
      <c r="P79" s="4">
        <v>0.1</v>
      </c>
      <c r="U79" s="5"/>
      <c r="V79" s="4"/>
      <c r="W79" s="4"/>
    </row>
    <row r="80" spans="9:23" x14ac:dyDescent="0.25">
      <c r="I80" s="4"/>
      <c r="K80" t="s">
        <v>225</v>
      </c>
      <c r="L80" t="s">
        <v>25</v>
      </c>
      <c r="M80" t="s">
        <v>74</v>
      </c>
      <c r="N80" s="5" t="s">
        <v>140</v>
      </c>
      <c r="O80" s="4">
        <v>4</v>
      </c>
      <c r="P80" s="4">
        <v>0</v>
      </c>
      <c r="U80" s="5"/>
      <c r="V80" s="4"/>
      <c r="W80" s="4"/>
    </row>
    <row r="81" spans="9:23" x14ac:dyDescent="0.25">
      <c r="I81" s="4"/>
      <c r="K81" t="s">
        <v>226</v>
      </c>
      <c r="L81" t="s">
        <v>44</v>
      </c>
      <c r="M81" t="s">
        <v>82</v>
      </c>
      <c r="N81" s="5" t="s">
        <v>142</v>
      </c>
      <c r="O81" s="4">
        <v>5</v>
      </c>
      <c r="P81" s="4">
        <v>0</v>
      </c>
      <c r="U81" s="5"/>
      <c r="V81" s="4"/>
      <c r="W81" s="4"/>
    </row>
    <row r="82" spans="9:23" x14ac:dyDescent="0.25">
      <c r="I82" s="4"/>
      <c r="N82" s="5"/>
      <c r="O82" s="4"/>
      <c r="P82" s="4"/>
      <c r="U82" s="5"/>
      <c r="V82" s="4"/>
      <c r="W82" s="4"/>
    </row>
    <row r="83" spans="9:23" x14ac:dyDescent="0.25">
      <c r="I83" s="4"/>
      <c r="K83" t="s">
        <v>229</v>
      </c>
      <c r="L83" t="s">
        <v>28</v>
      </c>
      <c r="M83" t="s">
        <v>72</v>
      </c>
      <c r="N83" s="5" t="s">
        <v>146</v>
      </c>
      <c r="O83" s="4">
        <v>2</v>
      </c>
      <c r="P83" s="4">
        <v>0</v>
      </c>
      <c r="U83" s="5"/>
      <c r="V83" s="4"/>
      <c r="W83" s="4"/>
    </row>
    <row r="84" spans="9:23" x14ac:dyDescent="0.25">
      <c r="I84" s="4"/>
      <c r="K84" t="s">
        <v>230</v>
      </c>
      <c r="L84" t="s">
        <v>47</v>
      </c>
      <c r="M84" t="s">
        <v>80</v>
      </c>
      <c r="N84" s="5" t="s">
        <v>148</v>
      </c>
      <c r="O84" s="4">
        <v>3</v>
      </c>
      <c r="P84" s="4">
        <v>0</v>
      </c>
      <c r="U84" s="5"/>
      <c r="V84" s="4"/>
      <c r="W84" s="4"/>
    </row>
    <row r="85" spans="9:23" x14ac:dyDescent="0.25">
      <c r="I85" s="4"/>
      <c r="K85" t="s">
        <v>231</v>
      </c>
      <c r="L85" t="s">
        <v>8</v>
      </c>
      <c r="M85" t="s">
        <v>86</v>
      </c>
      <c r="N85" s="5" t="s">
        <v>150</v>
      </c>
      <c r="O85" s="4">
        <v>4</v>
      </c>
      <c r="P85" s="4">
        <v>0</v>
      </c>
      <c r="U85" s="5"/>
      <c r="V85" s="4"/>
      <c r="W85" s="4"/>
    </row>
    <row r="86" spans="9:23" x14ac:dyDescent="0.25">
      <c r="I86" s="4"/>
      <c r="K86" t="s">
        <v>232</v>
      </c>
      <c r="L86" t="s">
        <v>31</v>
      </c>
      <c r="M86" t="s">
        <v>69</v>
      </c>
      <c r="N86" s="5" t="s">
        <v>152</v>
      </c>
      <c r="O86" s="4">
        <v>5</v>
      </c>
      <c r="P86" s="4">
        <v>0.05</v>
      </c>
      <c r="U86" s="5"/>
      <c r="V86" s="4"/>
      <c r="W86" s="4"/>
    </row>
    <row r="87" spans="9:23" x14ac:dyDescent="0.25">
      <c r="I87" s="4"/>
      <c r="K87" t="s">
        <v>233</v>
      </c>
      <c r="L87" t="s">
        <v>49</v>
      </c>
      <c r="M87" t="s">
        <v>77</v>
      </c>
      <c r="N87" s="5" t="s">
        <v>154</v>
      </c>
      <c r="O87" s="4">
        <v>1</v>
      </c>
      <c r="P87" s="4">
        <v>0</v>
      </c>
      <c r="U87" s="5"/>
      <c r="V87" s="4"/>
      <c r="W87" s="4"/>
    </row>
    <row r="88" spans="9:23" x14ac:dyDescent="0.25">
      <c r="I88" s="4"/>
      <c r="K88" t="s">
        <v>234</v>
      </c>
      <c r="L88" t="s">
        <v>12</v>
      </c>
      <c r="M88" t="s">
        <v>84</v>
      </c>
      <c r="N88" s="5" t="s">
        <v>156</v>
      </c>
      <c r="O88" s="4">
        <v>2</v>
      </c>
      <c r="P88" s="4">
        <v>0</v>
      </c>
      <c r="U88" s="5"/>
      <c r="V88" s="4"/>
      <c r="W88" s="4"/>
    </row>
    <row r="89" spans="9:23" x14ac:dyDescent="0.25">
      <c r="I89" s="4"/>
      <c r="K89" t="s">
        <v>235</v>
      </c>
      <c r="L89" t="s">
        <v>33</v>
      </c>
      <c r="M89" t="s">
        <v>67</v>
      </c>
      <c r="N89" s="5" t="s">
        <v>158</v>
      </c>
      <c r="O89" s="4">
        <v>3</v>
      </c>
      <c r="P89" s="4">
        <v>0</v>
      </c>
      <c r="U89" s="5"/>
      <c r="V89" s="4"/>
      <c r="W89" s="4"/>
    </row>
    <row r="90" spans="9:23" x14ac:dyDescent="0.25">
      <c r="I90" s="4"/>
      <c r="K90" t="s">
        <v>236</v>
      </c>
      <c r="L90" t="s">
        <v>52</v>
      </c>
      <c r="M90" t="s">
        <v>74</v>
      </c>
      <c r="N90" s="5" t="s">
        <v>160</v>
      </c>
      <c r="O90" s="4">
        <v>4</v>
      </c>
      <c r="P90" s="4">
        <v>0.1</v>
      </c>
      <c r="U90" s="5"/>
      <c r="V90" s="4"/>
      <c r="W90" s="4"/>
    </row>
    <row r="91" spans="9:23" x14ac:dyDescent="0.25">
      <c r="I91" s="4"/>
      <c r="K91" t="s">
        <v>237</v>
      </c>
      <c r="L91" t="s">
        <v>15</v>
      </c>
      <c r="M91" t="s">
        <v>82</v>
      </c>
      <c r="N91" s="5" t="s">
        <v>162</v>
      </c>
      <c r="O91" s="4">
        <v>5</v>
      </c>
      <c r="P91" s="4">
        <v>0</v>
      </c>
      <c r="U91" s="5"/>
      <c r="V91" s="4"/>
      <c r="W91" s="4"/>
    </row>
    <row r="92" spans="9:23" x14ac:dyDescent="0.25">
      <c r="I92" s="4"/>
      <c r="K92" t="s">
        <v>238</v>
      </c>
      <c r="L92" t="s">
        <v>35</v>
      </c>
      <c r="M92" t="s">
        <v>64</v>
      </c>
      <c r="N92" s="5" t="s">
        <v>164</v>
      </c>
      <c r="O92" s="4">
        <v>1</v>
      </c>
      <c r="P92" s="4">
        <v>0</v>
      </c>
      <c r="U92" s="5"/>
      <c r="V92" s="4"/>
      <c r="W92" s="4"/>
    </row>
    <row r="93" spans="9:23" x14ac:dyDescent="0.25">
      <c r="I93" s="4"/>
      <c r="K93" t="s">
        <v>239</v>
      </c>
      <c r="L93" t="s">
        <v>54</v>
      </c>
      <c r="M93" t="s">
        <v>72</v>
      </c>
      <c r="N93" s="5" t="s">
        <v>166</v>
      </c>
      <c r="O93" s="4">
        <v>2</v>
      </c>
      <c r="P93" s="4">
        <v>0.05</v>
      </c>
      <c r="U93" s="5"/>
      <c r="V93" s="4"/>
      <c r="W93" s="4"/>
    </row>
    <row r="94" spans="9:23" x14ac:dyDescent="0.25">
      <c r="I94" s="4"/>
      <c r="K94" t="s">
        <v>240</v>
      </c>
      <c r="L94" t="s">
        <v>18</v>
      </c>
      <c r="M94" t="s">
        <v>80</v>
      </c>
      <c r="N94" s="5" t="s">
        <v>168</v>
      </c>
      <c r="O94" s="4">
        <v>3</v>
      </c>
      <c r="P94" s="4">
        <v>0</v>
      </c>
      <c r="U94" s="5"/>
      <c r="V94" s="4"/>
      <c r="W94" s="4"/>
    </row>
    <row r="95" spans="9:23" x14ac:dyDescent="0.25">
      <c r="I95" s="4"/>
      <c r="K95" t="s">
        <v>241</v>
      </c>
      <c r="L95" t="s">
        <v>38</v>
      </c>
      <c r="M95" t="s">
        <v>86</v>
      </c>
      <c r="N95" s="5" t="s">
        <v>170</v>
      </c>
      <c r="O95" s="4">
        <v>4</v>
      </c>
      <c r="P95" s="4">
        <v>0</v>
      </c>
      <c r="U95" s="5"/>
      <c r="V95" s="4"/>
      <c r="W95" s="4"/>
    </row>
    <row r="96" spans="9:23" x14ac:dyDescent="0.25">
      <c r="I96" s="4"/>
      <c r="K96" t="s">
        <v>242</v>
      </c>
      <c r="L96" t="s">
        <v>56</v>
      </c>
      <c r="M96" t="s">
        <v>69</v>
      </c>
      <c r="N96" s="5" t="s">
        <v>173</v>
      </c>
      <c r="O96" s="4">
        <v>5</v>
      </c>
      <c r="P96" s="4">
        <v>0</v>
      </c>
      <c r="U96" s="5"/>
      <c r="V96" s="4"/>
      <c r="W96" s="4"/>
    </row>
    <row r="97" spans="9:23" x14ac:dyDescent="0.25">
      <c r="I97" s="4"/>
      <c r="K97" t="s">
        <v>243</v>
      </c>
      <c r="L97" t="s">
        <v>21</v>
      </c>
      <c r="M97" t="s">
        <v>77</v>
      </c>
      <c r="N97" s="5" t="s">
        <v>175</v>
      </c>
      <c r="O97" s="4">
        <v>1</v>
      </c>
      <c r="P97" s="4">
        <v>0</v>
      </c>
      <c r="U97" s="5"/>
      <c r="V97" s="4"/>
      <c r="W97" s="4"/>
    </row>
    <row r="98" spans="9:23" x14ac:dyDescent="0.25">
      <c r="I98" s="4"/>
      <c r="K98" t="s">
        <v>244</v>
      </c>
      <c r="L98" t="s">
        <v>41</v>
      </c>
      <c r="M98" t="s">
        <v>84</v>
      </c>
      <c r="N98" s="5" t="s">
        <v>177</v>
      </c>
      <c r="O98" s="4">
        <v>2</v>
      </c>
      <c r="P98" s="4">
        <v>0</v>
      </c>
      <c r="U98" s="5"/>
      <c r="V98" s="4"/>
      <c r="W98" s="4"/>
    </row>
    <row r="99" spans="9:23" x14ac:dyDescent="0.25">
      <c r="I99" s="4"/>
      <c r="K99" t="s">
        <v>245</v>
      </c>
      <c r="L99" t="s">
        <v>58</v>
      </c>
      <c r="M99" t="s">
        <v>67</v>
      </c>
      <c r="N99" s="5" t="s">
        <v>179</v>
      </c>
      <c r="O99" s="4">
        <v>3</v>
      </c>
      <c r="P99" s="4">
        <v>0</v>
      </c>
      <c r="U99" s="5"/>
      <c r="V99" s="4"/>
      <c r="W99" s="4"/>
    </row>
    <row r="100" spans="9:23" x14ac:dyDescent="0.25">
      <c r="I100" s="4"/>
      <c r="K100" t="s">
        <v>246</v>
      </c>
      <c r="L100" t="s">
        <v>25</v>
      </c>
      <c r="M100" t="s">
        <v>74</v>
      </c>
      <c r="N100" s="5" t="s">
        <v>181</v>
      </c>
      <c r="O100" s="4">
        <v>4</v>
      </c>
      <c r="P100" s="4">
        <v>0.05</v>
      </c>
      <c r="U100" s="5"/>
      <c r="V100" s="4"/>
      <c r="W100" s="4"/>
    </row>
    <row r="101" spans="9:23" x14ac:dyDescent="0.25">
      <c r="I101" s="4"/>
      <c r="K101" t="s">
        <v>247</v>
      </c>
      <c r="L101" t="s">
        <v>44</v>
      </c>
      <c r="M101" t="s">
        <v>82</v>
      </c>
      <c r="N101" s="5" t="s">
        <v>183</v>
      </c>
      <c r="O101" s="4">
        <v>5</v>
      </c>
      <c r="P101" s="4">
        <v>0.1</v>
      </c>
      <c r="U101" s="5"/>
      <c r="V101" s="4"/>
      <c r="W101" s="4"/>
    </row>
    <row r="102" spans="9:23" x14ac:dyDescent="0.25">
      <c r="I102" s="4"/>
      <c r="K102" t="s">
        <v>248</v>
      </c>
      <c r="L102" t="s">
        <v>4</v>
      </c>
      <c r="M102" t="s">
        <v>64</v>
      </c>
      <c r="N102" s="5" t="s">
        <v>185</v>
      </c>
      <c r="O102" s="4">
        <v>1</v>
      </c>
      <c r="P102" s="4">
        <v>0</v>
      </c>
      <c r="U102" s="5"/>
      <c r="V102" s="4"/>
      <c r="W102" s="4"/>
    </row>
    <row r="103" spans="9:23" x14ac:dyDescent="0.25">
      <c r="I103" s="4"/>
      <c r="K103" t="s">
        <v>249</v>
      </c>
      <c r="L103" t="s">
        <v>28</v>
      </c>
      <c r="M103" t="s">
        <v>72</v>
      </c>
      <c r="N103" s="5" t="s">
        <v>187</v>
      </c>
      <c r="O103" s="4">
        <v>2</v>
      </c>
      <c r="P103" s="4">
        <v>0</v>
      </c>
      <c r="U103" s="5"/>
      <c r="V103" s="4"/>
      <c r="W103" s="4"/>
    </row>
    <row r="104" spans="9:23" x14ac:dyDescent="0.25">
      <c r="I104" s="4"/>
      <c r="K104" t="s">
        <v>250</v>
      </c>
      <c r="L104" t="s">
        <v>47</v>
      </c>
      <c r="M104" t="s">
        <v>80</v>
      </c>
      <c r="N104" s="5" t="s">
        <v>189</v>
      </c>
      <c r="O104" s="4">
        <v>3</v>
      </c>
      <c r="P104" s="4">
        <v>0</v>
      </c>
      <c r="U104" s="5"/>
      <c r="V104" s="4"/>
      <c r="W104" s="4"/>
    </row>
    <row r="105" spans="9:23" x14ac:dyDescent="0.25">
      <c r="I105" s="4"/>
      <c r="K105" t="s">
        <v>251</v>
      </c>
      <c r="L105" t="s">
        <v>8</v>
      </c>
      <c r="M105" t="s">
        <v>86</v>
      </c>
      <c r="N105" s="5" t="s">
        <v>191</v>
      </c>
      <c r="O105" s="4">
        <v>4</v>
      </c>
      <c r="P105" s="4">
        <v>0</v>
      </c>
      <c r="U105" s="5"/>
      <c r="V105" s="4"/>
      <c r="W105" s="4"/>
    </row>
    <row r="106" spans="9:23" x14ac:dyDescent="0.25">
      <c r="I106" s="4"/>
      <c r="K106" t="s">
        <v>252</v>
      </c>
      <c r="L106" t="s">
        <v>31</v>
      </c>
      <c r="M106" t="s">
        <v>69</v>
      </c>
      <c r="N106" s="5" t="s">
        <v>193</v>
      </c>
      <c r="O106" s="4">
        <v>5</v>
      </c>
      <c r="P106" s="4">
        <v>0</v>
      </c>
      <c r="U106" s="5"/>
      <c r="V106" s="4"/>
      <c r="W106" s="4"/>
    </row>
    <row r="107" spans="9:23" x14ac:dyDescent="0.25">
      <c r="I107" s="4"/>
      <c r="K107" t="s">
        <v>253</v>
      </c>
      <c r="L107" t="s">
        <v>49</v>
      </c>
      <c r="M107" t="s">
        <v>77</v>
      </c>
      <c r="N107" s="5" t="s">
        <v>195</v>
      </c>
      <c r="O107" s="4">
        <v>1</v>
      </c>
      <c r="P107" s="4">
        <v>0.05</v>
      </c>
      <c r="U107" s="5"/>
      <c r="V107" s="4"/>
      <c r="W107" s="4"/>
    </row>
    <row r="108" spans="9:23" x14ac:dyDescent="0.25">
      <c r="I108" s="4"/>
      <c r="K108" t="s">
        <v>254</v>
      </c>
      <c r="L108" t="s">
        <v>12</v>
      </c>
      <c r="M108" t="s">
        <v>84</v>
      </c>
      <c r="N108" s="5" t="s">
        <v>197</v>
      </c>
      <c r="O108" s="4">
        <v>2</v>
      </c>
      <c r="P108" s="4">
        <v>0</v>
      </c>
      <c r="U108" s="5"/>
      <c r="V108" s="4"/>
      <c r="W108" s="4"/>
    </row>
    <row r="109" spans="9:23" x14ac:dyDescent="0.25">
      <c r="I109" s="4"/>
      <c r="K109" t="s">
        <v>255</v>
      </c>
      <c r="L109" t="s">
        <v>33</v>
      </c>
      <c r="M109" t="s">
        <v>67</v>
      </c>
      <c r="N109" s="5" t="s">
        <v>199</v>
      </c>
      <c r="O109" s="4">
        <v>3</v>
      </c>
      <c r="P109" s="4">
        <v>0</v>
      </c>
      <c r="U109" s="5"/>
      <c r="V109" s="4"/>
      <c r="W109" s="4"/>
    </row>
    <row r="110" spans="9:23" x14ac:dyDescent="0.25">
      <c r="I110" s="4"/>
      <c r="K110" t="s">
        <v>256</v>
      </c>
      <c r="L110" t="s">
        <v>52</v>
      </c>
      <c r="M110" t="s">
        <v>74</v>
      </c>
      <c r="N110" s="5" t="s">
        <v>201</v>
      </c>
      <c r="O110" s="4">
        <v>4</v>
      </c>
      <c r="P110" s="4">
        <v>0</v>
      </c>
      <c r="U110" s="5"/>
      <c r="V110" s="4"/>
      <c r="W110" s="4"/>
    </row>
    <row r="111" spans="9:23" x14ac:dyDescent="0.25">
      <c r="I111" s="4"/>
      <c r="K111" t="s">
        <v>257</v>
      </c>
      <c r="L111" t="s">
        <v>15</v>
      </c>
      <c r="M111" t="s">
        <v>82</v>
      </c>
      <c r="N111" s="5" t="s">
        <v>93</v>
      </c>
      <c r="O111" s="4">
        <v>5</v>
      </c>
      <c r="P111" s="4">
        <v>0</v>
      </c>
      <c r="U111" s="5"/>
      <c r="V111" s="4"/>
      <c r="W111" s="4"/>
    </row>
    <row r="112" spans="9:23" x14ac:dyDescent="0.25">
      <c r="I112" s="4"/>
      <c r="K112" t="s">
        <v>258</v>
      </c>
      <c r="L112" t="s">
        <v>35</v>
      </c>
      <c r="M112" t="s">
        <v>64</v>
      </c>
      <c r="N112" s="5" t="s">
        <v>95</v>
      </c>
      <c r="O112" s="4">
        <v>1</v>
      </c>
      <c r="P112" s="4">
        <v>0.1</v>
      </c>
      <c r="U112" s="5"/>
      <c r="V112" s="4"/>
      <c r="W112" s="4"/>
    </row>
    <row r="113" spans="9:23" x14ac:dyDescent="0.25">
      <c r="I113" s="4"/>
      <c r="K113" t="s">
        <v>259</v>
      </c>
      <c r="L113" t="s">
        <v>54</v>
      </c>
      <c r="M113" t="s">
        <v>72</v>
      </c>
      <c r="N113" s="5" t="s">
        <v>97</v>
      </c>
      <c r="O113" s="4">
        <v>2</v>
      </c>
      <c r="P113" s="4">
        <v>0</v>
      </c>
      <c r="U113" s="5"/>
      <c r="V113" s="4"/>
      <c r="W113" s="4"/>
    </row>
    <row r="114" spans="9:23" x14ac:dyDescent="0.25">
      <c r="I114" s="4"/>
      <c r="K114" t="s">
        <v>260</v>
      </c>
      <c r="L114" t="s">
        <v>18</v>
      </c>
      <c r="M114" t="s">
        <v>80</v>
      </c>
      <c r="N114" s="5" t="s">
        <v>99</v>
      </c>
      <c r="O114" s="4">
        <v>3</v>
      </c>
      <c r="P114" s="4">
        <v>0.05</v>
      </c>
      <c r="U114" s="5"/>
      <c r="V114" s="4"/>
      <c r="W114" s="4"/>
    </row>
    <row r="115" spans="9:23" x14ac:dyDescent="0.25">
      <c r="I115" s="4"/>
      <c r="K115" t="s">
        <v>261</v>
      </c>
      <c r="L115" t="s">
        <v>38</v>
      </c>
      <c r="M115" t="s">
        <v>86</v>
      </c>
      <c r="N115" s="5" t="s">
        <v>101</v>
      </c>
      <c r="O115" s="4">
        <v>4</v>
      </c>
      <c r="P115" s="4">
        <v>0</v>
      </c>
      <c r="U115" s="5"/>
      <c r="V115" s="4"/>
      <c r="W115" s="4"/>
    </row>
    <row r="116" spans="9:23" x14ac:dyDescent="0.25">
      <c r="I116" s="4"/>
      <c r="K116" t="s">
        <v>262</v>
      </c>
      <c r="L116" t="s">
        <v>56</v>
      </c>
      <c r="M116" t="s">
        <v>69</v>
      </c>
      <c r="N116" s="5" t="s">
        <v>103</v>
      </c>
      <c r="O116" s="4">
        <v>5</v>
      </c>
      <c r="P116" s="4">
        <v>0</v>
      </c>
      <c r="U116" s="5"/>
      <c r="V116" s="4"/>
      <c r="W116" s="4"/>
    </row>
    <row r="117" spans="9:23" x14ac:dyDescent="0.25">
      <c r="I117" s="4"/>
      <c r="K117" t="s">
        <v>263</v>
      </c>
      <c r="L117" t="s">
        <v>21</v>
      </c>
      <c r="M117" t="s">
        <v>77</v>
      </c>
      <c r="N117" s="5" t="s">
        <v>105</v>
      </c>
      <c r="O117" s="4">
        <v>1</v>
      </c>
      <c r="P117" s="4">
        <v>0</v>
      </c>
      <c r="U117" s="5"/>
      <c r="V117" s="4"/>
      <c r="W117" s="4"/>
    </row>
    <row r="118" spans="9:23" x14ac:dyDescent="0.25">
      <c r="I118" s="4"/>
      <c r="K118" t="s">
        <v>264</v>
      </c>
      <c r="L118" t="s">
        <v>41</v>
      </c>
      <c r="M118" t="s">
        <v>84</v>
      </c>
      <c r="N118" s="5" t="s">
        <v>107</v>
      </c>
      <c r="O118" s="4">
        <v>2</v>
      </c>
      <c r="P118" s="4">
        <v>0</v>
      </c>
      <c r="U118" s="5"/>
      <c r="V118" s="4"/>
      <c r="W118" s="4"/>
    </row>
    <row r="119" spans="9:23" x14ac:dyDescent="0.25">
      <c r="I119" s="4"/>
      <c r="K119" t="s">
        <v>265</v>
      </c>
      <c r="L119" t="s">
        <v>58</v>
      </c>
      <c r="M119" t="s">
        <v>67</v>
      </c>
      <c r="N119" s="5" t="s">
        <v>109</v>
      </c>
      <c r="O119" s="4">
        <v>3</v>
      </c>
      <c r="P119" s="4">
        <v>0</v>
      </c>
      <c r="U119" s="5"/>
      <c r="V119" s="4"/>
      <c r="W119" s="4"/>
    </row>
    <row r="120" spans="9:23" x14ac:dyDescent="0.25">
      <c r="I120" s="4"/>
      <c r="K120" s="6" t="s">
        <v>266</v>
      </c>
      <c r="L120" s="6" t="s">
        <v>25</v>
      </c>
      <c r="M120" s="6" t="s">
        <v>74</v>
      </c>
      <c r="N120" s="7" t="s">
        <v>112</v>
      </c>
      <c r="O120" s="8">
        <v>4</v>
      </c>
      <c r="P120" s="8">
        <v>0</v>
      </c>
      <c r="U120" s="5"/>
      <c r="V120" s="4"/>
      <c r="W120" s="4"/>
    </row>
    <row r="121" spans="9:23" x14ac:dyDescent="0.25">
      <c r="I121" s="4"/>
      <c r="K121" t="s">
        <v>267</v>
      </c>
      <c r="L121" t="s">
        <v>44</v>
      </c>
      <c r="M121" t="s">
        <v>82</v>
      </c>
      <c r="N121" s="5" t="s">
        <v>114</v>
      </c>
      <c r="O121" s="4">
        <v>5</v>
      </c>
      <c r="P121" s="4">
        <v>0.05</v>
      </c>
      <c r="U121" s="5"/>
      <c r="V121" s="4"/>
      <c r="W121" s="4"/>
    </row>
    <row r="122" spans="9:23" x14ac:dyDescent="0.25">
      <c r="I122" s="4"/>
      <c r="K122" t="s">
        <v>268</v>
      </c>
      <c r="L122" t="s">
        <v>4</v>
      </c>
      <c r="M122" t="s">
        <v>64</v>
      </c>
      <c r="N122" s="5" t="s">
        <v>116</v>
      </c>
      <c r="O122" s="4">
        <v>-2</v>
      </c>
      <c r="P122" s="4">
        <v>0</v>
      </c>
      <c r="U122" s="5"/>
      <c r="V122" s="4"/>
      <c r="W122" s="4"/>
    </row>
    <row r="123" spans="9:23" x14ac:dyDescent="0.25">
      <c r="I123" s="4"/>
      <c r="K123" t="s">
        <v>269</v>
      </c>
      <c r="L123" t="s">
        <v>28</v>
      </c>
      <c r="M123" t="s">
        <v>72</v>
      </c>
      <c r="N123" s="5" t="s">
        <v>118</v>
      </c>
      <c r="O123" s="4">
        <v>2</v>
      </c>
      <c r="P123" s="4">
        <v>0.1</v>
      </c>
      <c r="U123" s="5"/>
      <c r="V123" s="4"/>
      <c r="W123" s="4"/>
    </row>
    <row r="124" spans="9:23" x14ac:dyDescent="0.25">
      <c r="I124" s="4"/>
      <c r="K124" t="s">
        <v>270</v>
      </c>
      <c r="L124" t="s">
        <v>47</v>
      </c>
      <c r="M124" t="s">
        <v>80</v>
      </c>
      <c r="N124" s="5" t="s">
        <v>120</v>
      </c>
      <c r="O124" s="4">
        <v>3</v>
      </c>
      <c r="P124" s="4">
        <v>0</v>
      </c>
      <c r="U124" s="5"/>
      <c r="V124" s="4"/>
      <c r="W124" s="4"/>
    </row>
    <row r="125" spans="9:23" x14ac:dyDescent="0.25">
      <c r="I125" s="4"/>
      <c r="K125" t="s">
        <v>271</v>
      </c>
      <c r="L125" t="s">
        <v>8</v>
      </c>
      <c r="M125" t="s">
        <v>86</v>
      </c>
      <c r="N125" s="5" t="s">
        <v>122</v>
      </c>
      <c r="O125" s="4">
        <v>4</v>
      </c>
      <c r="P125" s="4">
        <v>0</v>
      </c>
      <c r="U125" s="5"/>
      <c r="V125" s="4"/>
      <c r="W125" s="4"/>
    </row>
    <row r="126" spans="9:23" x14ac:dyDescent="0.25">
      <c r="I126" s="4"/>
      <c r="K126" t="s">
        <v>272</v>
      </c>
      <c r="L126" t="s">
        <v>31</v>
      </c>
      <c r="M126" t="s">
        <v>69</v>
      </c>
      <c r="N126" s="5" t="s">
        <v>124</v>
      </c>
      <c r="O126" s="4">
        <v>5</v>
      </c>
      <c r="P126" s="4">
        <v>0</v>
      </c>
      <c r="U126" s="5"/>
      <c r="V126" s="4"/>
      <c r="W126" s="4"/>
    </row>
    <row r="127" spans="9:23" x14ac:dyDescent="0.25">
      <c r="I127" s="4"/>
      <c r="K127" t="s">
        <v>273</v>
      </c>
      <c r="L127" t="s">
        <v>49</v>
      </c>
      <c r="M127" t="s">
        <v>77</v>
      </c>
      <c r="N127" s="5" t="s">
        <v>126</v>
      </c>
      <c r="O127" s="4">
        <v>1</v>
      </c>
      <c r="P127" s="4">
        <v>0</v>
      </c>
      <c r="U127" s="5"/>
      <c r="V127" s="4"/>
      <c r="W127" s="4"/>
    </row>
    <row r="128" spans="9:23" x14ac:dyDescent="0.25">
      <c r="I128" s="4"/>
      <c r="K128" t="s">
        <v>274</v>
      </c>
      <c r="L128" t="s">
        <v>12</v>
      </c>
      <c r="M128" t="s">
        <v>84</v>
      </c>
      <c r="N128" s="5" t="s">
        <v>128</v>
      </c>
      <c r="O128" s="4">
        <v>2</v>
      </c>
      <c r="P128" s="4">
        <v>0.05</v>
      </c>
      <c r="U128" s="5"/>
      <c r="V128" s="4"/>
      <c r="W128" s="4"/>
    </row>
    <row r="129" spans="9:23" x14ac:dyDescent="0.25">
      <c r="I129" s="4"/>
      <c r="K129" t="s">
        <v>275</v>
      </c>
      <c r="L129" t="s">
        <v>33</v>
      </c>
      <c r="M129" t="s">
        <v>67</v>
      </c>
      <c r="N129" s="5" t="s">
        <v>130</v>
      </c>
      <c r="O129" s="4">
        <v>3</v>
      </c>
      <c r="P129" s="4">
        <v>0</v>
      </c>
      <c r="U129" s="5"/>
      <c r="V129" s="4"/>
      <c r="W129" s="4"/>
    </row>
    <row r="130" spans="9:23" x14ac:dyDescent="0.25">
      <c r="I130" s="4"/>
      <c r="K130" t="s">
        <v>276</v>
      </c>
      <c r="L130" t="s">
        <v>52</v>
      </c>
      <c r="M130" t="s">
        <v>74</v>
      </c>
      <c r="N130" s="5" t="s">
        <v>132</v>
      </c>
      <c r="O130" s="4">
        <v>4</v>
      </c>
      <c r="P130" s="4">
        <v>0</v>
      </c>
      <c r="U130" s="5"/>
      <c r="V130" s="4"/>
      <c r="W130" s="4"/>
    </row>
    <row r="131" spans="9:23" x14ac:dyDescent="0.25">
      <c r="I131" s="4"/>
      <c r="K131" t="s">
        <v>277</v>
      </c>
      <c r="L131" t="s">
        <v>15</v>
      </c>
      <c r="M131" t="s">
        <v>82</v>
      </c>
      <c r="N131" s="5" t="s">
        <v>134</v>
      </c>
      <c r="O131" s="4">
        <v>5</v>
      </c>
      <c r="P131" s="4">
        <v>0</v>
      </c>
      <c r="U131" s="5"/>
      <c r="V131" s="4"/>
      <c r="W131" s="4"/>
    </row>
    <row r="132" spans="9:23" x14ac:dyDescent="0.25">
      <c r="I132" s="4"/>
      <c r="K132" t="s">
        <v>278</v>
      </c>
      <c r="L132" t="s">
        <v>35</v>
      </c>
      <c r="M132" t="s">
        <v>64</v>
      </c>
      <c r="N132" s="5" t="s">
        <v>136</v>
      </c>
      <c r="O132" s="4">
        <v>1</v>
      </c>
      <c r="P132" s="4">
        <v>0</v>
      </c>
      <c r="U132" s="5"/>
      <c r="V132" s="4"/>
      <c r="W132" s="4"/>
    </row>
    <row r="133" spans="9:23" x14ac:dyDescent="0.25">
      <c r="I133" s="4"/>
      <c r="K133" t="s">
        <v>279</v>
      </c>
      <c r="L133" t="s">
        <v>54</v>
      </c>
      <c r="M133" t="s">
        <v>72</v>
      </c>
      <c r="N133" s="5" t="s">
        <v>138</v>
      </c>
      <c r="O133" s="4">
        <v>2</v>
      </c>
      <c r="P133" s="4">
        <v>0</v>
      </c>
      <c r="U133" s="5"/>
      <c r="V133" s="4"/>
      <c r="W133" s="4"/>
    </row>
    <row r="134" spans="9:23" x14ac:dyDescent="0.25">
      <c r="I134" s="4"/>
      <c r="K134" t="s">
        <v>280</v>
      </c>
      <c r="L134" t="s">
        <v>18</v>
      </c>
      <c r="M134" t="s">
        <v>80</v>
      </c>
      <c r="N134" s="5" t="s">
        <v>140</v>
      </c>
      <c r="O134" s="4">
        <v>3</v>
      </c>
      <c r="P134" s="4">
        <v>0.1</v>
      </c>
      <c r="U134" s="5"/>
      <c r="V134" s="4"/>
      <c r="W134" s="4"/>
    </row>
    <row r="135" spans="9:23" x14ac:dyDescent="0.25">
      <c r="I135" s="4"/>
      <c r="K135" t="s">
        <v>281</v>
      </c>
      <c r="L135" t="s">
        <v>38</v>
      </c>
      <c r="M135" t="s">
        <v>86</v>
      </c>
      <c r="N135" s="5" t="s">
        <v>142</v>
      </c>
      <c r="O135" s="4">
        <v>4</v>
      </c>
      <c r="P135" s="4">
        <v>0.05</v>
      </c>
      <c r="U135" s="5"/>
      <c r="V135" s="4"/>
      <c r="W135" s="4"/>
    </row>
    <row r="136" spans="9:23" x14ac:dyDescent="0.25">
      <c r="I136" s="4"/>
      <c r="K136" t="s">
        <v>282</v>
      </c>
      <c r="L136" t="s">
        <v>56</v>
      </c>
      <c r="M136" t="s">
        <v>69</v>
      </c>
      <c r="N136" s="5" t="s">
        <v>144</v>
      </c>
      <c r="O136" s="4">
        <v>5</v>
      </c>
      <c r="P136" s="4">
        <v>0</v>
      </c>
      <c r="U136" s="5"/>
      <c r="V136" s="4"/>
      <c r="W136" s="4"/>
    </row>
    <row r="137" spans="9:23" x14ac:dyDescent="0.25">
      <c r="I137" s="4"/>
      <c r="K137" t="s">
        <v>283</v>
      </c>
      <c r="L137" t="s">
        <v>21</v>
      </c>
      <c r="M137" t="s">
        <v>77</v>
      </c>
      <c r="N137" s="5" t="s">
        <v>146</v>
      </c>
      <c r="O137" s="4">
        <v>1</v>
      </c>
      <c r="P137" s="4">
        <v>0</v>
      </c>
      <c r="U137" s="5"/>
      <c r="V137" s="4"/>
      <c r="W137" s="4"/>
    </row>
    <row r="138" spans="9:23" x14ac:dyDescent="0.25">
      <c r="I138" s="4"/>
      <c r="K138" t="s">
        <v>284</v>
      </c>
      <c r="L138" t="s">
        <v>41</v>
      </c>
      <c r="M138" t="s">
        <v>84</v>
      </c>
      <c r="N138" s="5" t="s">
        <v>148</v>
      </c>
      <c r="O138" s="4">
        <v>2</v>
      </c>
      <c r="P138" s="4">
        <v>0</v>
      </c>
      <c r="U138" s="5"/>
      <c r="V138" s="4"/>
      <c r="W138" s="4"/>
    </row>
    <row r="139" spans="9:23" x14ac:dyDescent="0.25">
      <c r="I139" s="4"/>
      <c r="K139" t="s">
        <v>285</v>
      </c>
      <c r="L139" t="s">
        <v>58</v>
      </c>
      <c r="M139" t="s">
        <v>67</v>
      </c>
      <c r="N139" s="5" t="s">
        <v>150</v>
      </c>
      <c r="O139" s="4">
        <v>3</v>
      </c>
      <c r="P139" s="4">
        <v>0</v>
      </c>
      <c r="U139" s="5"/>
      <c r="V139" s="4"/>
      <c r="W139" s="4"/>
    </row>
    <row r="140" spans="9:23" x14ac:dyDescent="0.25">
      <c r="I140" s="4"/>
      <c r="K140" t="s">
        <v>286</v>
      </c>
      <c r="L140" t="s">
        <v>25</v>
      </c>
      <c r="M140" t="s">
        <v>74</v>
      </c>
      <c r="N140" s="5" t="s">
        <v>152</v>
      </c>
      <c r="O140" s="4">
        <v>4</v>
      </c>
      <c r="P140" s="4">
        <v>0</v>
      </c>
      <c r="U140" s="5"/>
      <c r="V140" s="4"/>
      <c r="W140" s="4"/>
    </row>
    <row r="141" spans="9:23" x14ac:dyDescent="0.25">
      <c r="I141" s="4"/>
      <c r="K141" t="s">
        <v>287</v>
      </c>
      <c r="L141" t="s">
        <v>44</v>
      </c>
      <c r="M141" t="s">
        <v>82</v>
      </c>
      <c r="N141" s="5" t="s">
        <v>154</v>
      </c>
      <c r="O141" s="4">
        <v>5</v>
      </c>
      <c r="P141" s="4">
        <v>0</v>
      </c>
      <c r="U141" s="5"/>
      <c r="V141" s="4"/>
      <c r="W141" s="4"/>
    </row>
    <row r="142" spans="9:23" x14ac:dyDescent="0.25">
      <c r="I142" s="4"/>
      <c r="K142" t="s">
        <v>288</v>
      </c>
      <c r="L142" t="s">
        <v>4</v>
      </c>
      <c r="M142" t="s">
        <v>64</v>
      </c>
      <c r="N142" s="5" t="s">
        <v>156</v>
      </c>
      <c r="O142" s="4">
        <v>1</v>
      </c>
      <c r="P142" s="4">
        <v>0.25</v>
      </c>
      <c r="U142" s="5"/>
      <c r="V142" s="4"/>
      <c r="W142" s="4"/>
    </row>
    <row r="143" spans="9:23" x14ac:dyDescent="0.25">
      <c r="I143" s="4"/>
      <c r="K143" t="s">
        <v>289</v>
      </c>
      <c r="L143" t="s">
        <v>28</v>
      </c>
      <c r="M143" t="s">
        <v>72</v>
      </c>
      <c r="N143" s="5" t="s">
        <v>158</v>
      </c>
      <c r="O143" s="4">
        <v>2</v>
      </c>
      <c r="P143" s="4">
        <v>0</v>
      </c>
      <c r="U143" s="5"/>
      <c r="V143" s="4"/>
      <c r="W143" s="4"/>
    </row>
    <row r="144" spans="9:23" x14ac:dyDescent="0.25">
      <c r="I144" s="4"/>
      <c r="K144" t="s">
        <v>290</v>
      </c>
      <c r="L144" t="s">
        <v>47</v>
      </c>
      <c r="M144" t="s">
        <v>80</v>
      </c>
      <c r="N144" s="5" t="s">
        <v>160</v>
      </c>
      <c r="O144" s="4">
        <v>3</v>
      </c>
      <c r="P144" s="4">
        <v>0</v>
      </c>
      <c r="U144" s="5"/>
      <c r="V144" s="4"/>
      <c r="W144" s="4"/>
    </row>
    <row r="145" spans="9:23" x14ac:dyDescent="0.25">
      <c r="I145" s="4"/>
      <c r="K145" t="s">
        <v>291</v>
      </c>
      <c r="L145" t="s">
        <v>8</v>
      </c>
      <c r="M145" t="s">
        <v>86</v>
      </c>
      <c r="N145" s="5" t="s">
        <v>162</v>
      </c>
      <c r="O145" s="4">
        <v>4</v>
      </c>
      <c r="P145" s="4">
        <v>0.1</v>
      </c>
      <c r="U145" s="5"/>
      <c r="V145" s="4"/>
      <c r="W145" s="4"/>
    </row>
    <row r="146" spans="9:23" x14ac:dyDescent="0.25">
      <c r="I146" s="4"/>
      <c r="K146" t="s">
        <v>292</v>
      </c>
      <c r="L146" t="s">
        <v>31</v>
      </c>
      <c r="M146" t="s">
        <v>69</v>
      </c>
      <c r="N146" s="5" t="s">
        <v>164</v>
      </c>
      <c r="O146" s="4">
        <v>5</v>
      </c>
      <c r="P146" s="4">
        <v>0</v>
      </c>
      <c r="U146" s="5"/>
      <c r="V146" s="4"/>
      <c r="W146" s="4"/>
    </row>
    <row r="147" spans="9:23" x14ac:dyDescent="0.25">
      <c r="I147" s="4"/>
      <c r="K147" t="s">
        <v>293</v>
      </c>
      <c r="L147" t="s">
        <v>49</v>
      </c>
      <c r="M147" t="s">
        <v>77</v>
      </c>
      <c r="N147" s="5" t="s">
        <v>166</v>
      </c>
      <c r="O147" s="4">
        <v>1</v>
      </c>
      <c r="P147" s="4">
        <v>0</v>
      </c>
      <c r="U147" s="5"/>
      <c r="V147" s="4"/>
      <c r="W147" s="4"/>
    </row>
    <row r="148" spans="9:23" x14ac:dyDescent="0.25">
      <c r="I148" s="4"/>
      <c r="K148" t="s">
        <v>294</v>
      </c>
      <c r="L148" t="s">
        <v>12</v>
      </c>
      <c r="M148" t="s">
        <v>84</v>
      </c>
      <c r="N148" s="5" t="s">
        <v>168</v>
      </c>
      <c r="O148" s="4">
        <v>2</v>
      </c>
      <c r="P148" s="4">
        <v>0</v>
      </c>
      <c r="U148" s="5"/>
      <c r="V148" s="4"/>
      <c r="W148" s="4"/>
    </row>
    <row r="149" spans="9:23" x14ac:dyDescent="0.25">
      <c r="I149" s="4"/>
      <c r="K149" t="s">
        <v>295</v>
      </c>
      <c r="L149" t="s">
        <v>33</v>
      </c>
      <c r="M149" t="s">
        <v>67</v>
      </c>
      <c r="N149" s="5" t="s">
        <v>170</v>
      </c>
      <c r="O149" s="4">
        <v>3</v>
      </c>
      <c r="P149" s="4">
        <v>0.05</v>
      </c>
      <c r="U149" s="5"/>
      <c r="V149" s="4"/>
      <c r="W149" s="4"/>
    </row>
    <row r="150" spans="9:23" x14ac:dyDescent="0.25">
      <c r="I150" s="4"/>
      <c r="K150" t="s">
        <v>296</v>
      </c>
      <c r="L150" t="s">
        <v>52</v>
      </c>
      <c r="M150" t="s">
        <v>74</v>
      </c>
      <c r="N150" s="5" t="s">
        <v>173</v>
      </c>
      <c r="O150" s="4">
        <v>4</v>
      </c>
      <c r="P150" s="4">
        <v>0</v>
      </c>
      <c r="U150" s="5"/>
      <c r="V150" s="4"/>
      <c r="W150" s="4"/>
    </row>
    <row r="151" spans="9:23" x14ac:dyDescent="0.25">
      <c r="I151" s="4"/>
      <c r="K151" t="s">
        <v>297</v>
      </c>
      <c r="L151" t="s">
        <v>15</v>
      </c>
      <c r="M151" t="s">
        <v>82</v>
      </c>
      <c r="N151" s="5" t="s">
        <v>175</v>
      </c>
      <c r="O151" s="4">
        <v>5</v>
      </c>
      <c r="P151" s="4">
        <v>0</v>
      </c>
    </row>
    <row r="152" spans="9:23" x14ac:dyDescent="0.25">
      <c r="I152" s="4"/>
      <c r="K152" t="s">
        <v>298</v>
      </c>
      <c r="L152" t="s">
        <v>35</v>
      </c>
      <c r="M152" t="s">
        <v>64</v>
      </c>
      <c r="N152" s="5" t="s">
        <v>177</v>
      </c>
      <c r="O152" s="4">
        <v>1</v>
      </c>
      <c r="P152" s="4">
        <v>0</v>
      </c>
    </row>
    <row r="153" spans="9:23" x14ac:dyDescent="0.25">
      <c r="I153" s="4"/>
      <c r="N153" s="5"/>
      <c r="O153" s="4"/>
      <c r="P153" s="4"/>
    </row>
    <row r="154" spans="9:23" x14ac:dyDescent="0.25">
      <c r="I154" s="4"/>
      <c r="N154" s="5"/>
      <c r="O154" s="4"/>
      <c r="P154" s="4"/>
    </row>
    <row r="155" spans="9:23" x14ac:dyDescent="0.25">
      <c r="I155" s="4"/>
      <c r="N155" s="5"/>
      <c r="O155" s="4"/>
      <c r="P155" s="4"/>
    </row>
    <row r="156" spans="9:23" x14ac:dyDescent="0.25">
      <c r="I156" s="4"/>
      <c r="N156" s="5"/>
      <c r="O156" s="4"/>
      <c r="P156" s="4"/>
    </row>
    <row r="157" spans="9:23" x14ac:dyDescent="0.25">
      <c r="I157" s="4"/>
      <c r="N157" s="5"/>
      <c r="O157" s="4"/>
      <c r="P157" s="4"/>
    </row>
    <row r="158" spans="9:23" x14ac:dyDescent="0.25">
      <c r="I158" s="4"/>
      <c r="N158" s="5"/>
      <c r="O158" s="4"/>
      <c r="P158" s="4"/>
    </row>
    <row r="159" spans="9:23" x14ac:dyDescent="0.25">
      <c r="I159" s="4"/>
      <c r="N159" s="5"/>
      <c r="O159" s="4"/>
      <c r="P159" s="4"/>
    </row>
    <row r="160" spans="9:23" x14ac:dyDescent="0.25">
      <c r="I160" s="4"/>
      <c r="N160" s="5"/>
      <c r="O160" s="4"/>
      <c r="P160" s="4"/>
    </row>
    <row r="161" spans="9:16" x14ac:dyDescent="0.25">
      <c r="I161" s="4"/>
      <c r="N161" s="5"/>
      <c r="O161" s="4"/>
      <c r="P161" s="4"/>
    </row>
    <row r="162" spans="9:16" x14ac:dyDescent="0.25">
      <c r="I162" s="4"/>
      <c r="N162" s="5"/>
      <c r="O162" s="4"/>
      <c r="P162" s="4"/>
    </row>
    <row r="163" spans="9:16" x14ac:dyDescent="0.25">
      <c r="I163" s="4"/>
      <c r="N163" s="5"/>
      <c r="O163" s="4"/>
      <c r="P163" s="4"/>
    </row>
    <row r="164" spans="9:16" x14ac:dyDescent="0.25">
      <c r="I164" s="4"/>
      <c r="N164" s="5"/>
      <c r="O164" s="4"/>
      <c r="P164" s="4"/>
    </row>
    <row r="165" spans="9:16" x14ac:dyDescent="0.25">
      <c r="I165" s="4"/>
      <c r="N165" s="5"/>
      <c r="O165" s="4"/>
      <c r="P165" s="4"/>
    </row>
    <row r="166" spans="9:16" x14ac:dyDescent="0.25">
      <c r="I166" s="4"/>
      <c r="N166" s="5"/>
      <c r="O166" s="4"/>
      <c r="P166" s="4"/>
    </row>
    <row r="167" spans="9:16" x14ac:dyDescent="0.25">
      <c r="I167" s="4"/>
      <c r="N167" s="5"/>
      <c r="O167" s="4"/>
      <c r="P167" s="4"/>
    </row>
    <row r="168" spans="9:16" x14ac:dyDescent="0.25">
      <c r="I168" s="4"/>
      <c r="N168" s="5"/>
      <c r="O168" s="4"/>
      <c r="P168" s="4"/>
    </row>
    <row r="169" spans="9:16" x14ac:dyDescent="0.25">
      <c r="I169" s="4"/>
      <c r="N169" s="5"/>
      <c r="O169" s="4"/>
      <c r="P169" s="4"/>
    </row>
    <row r="170" spans="9:16" x14ac:dyDescent="0.25">
      <c r="I170" s="4"/>
      <c r="N170" s="5"/>
      <c r="O170" s="4"/>
      <c r="P170" s="4"/>
    </row>
    <row r="171" spans="9:16" x14ac:dyDescent="0.25">
      <c r="I171" s="4"/>
      <c r="N171" s="5"/>
      <c r="O171" s="4"/>
      <c r="P171" s="4"/>
    </row>
    <row r="172" spans="9:16" x14ac:dyDescent="0.25">
      <c r="I172" s="4"/>
      <c r="N172" s="5"/>
      <c r="O172" s="4"/>
      <c r="P172" s="4"/>
    </row>
    <row r="173" spans="9:16" x14ac:dyDescent="0.25">
      <c r="I173" s="4"/>
      <c r="N173" s="5"/>
      <c r="O173" s="4"/>
      <c r="P173" s="4"/>
    </row>
    <row r="174" spans="9:16" x14ac:dyDescent="0.25">
      <c r="I174" s="4"/>
      <c r="N174" s="5"/>
      <c r="O174" s="4"/>
      <c r="P174" s="4"/>
    </row>
    <row r="175" spans="9:16" x14ac:dyDescent="0.25">
      <c r="I175" s="4"/>
      <c r="N175" s="5"/>
      <c r="O175" s="4"/>
      <c r="P175" s="4"/>
    </row>
    <row r="176" spans="9:16" x14ac:dyDescent="0.25">
      <c r="I176" s="4"/>
      <c r="N176" s="5"/>
      <c r="O176" s="4"/>
      <c r="P176" s="4"/>
    </row>
    <row r="177" spans="9:16" x14ac:dyDescent="0.25">
      <c r="I177" s="4"/>
      <c r="N177" s="5"/>
      <c r="O177" s="4"/>
      <c r="P177" s="4"/>
    </row>
    <row r="178" spans="9:16" x14ac:dyDescent="0.25">
      <c r="I178" s="4"/>
      <c r="N178" s="5"/>
      <c r="O178" s="4"/>
      <c r="P178" s="4"/>
    </row>
    <row r="179" spans="9:16" x14ac:dyDescent="0.25">
      <c r="I179" s="4"/>
      <c r="N179" s="5"/>
      <c r="O179" s="4"/>
      <c r="P179" s="4"/>
    </row>
    <row r="180" spans="9:16" x14ac:dyDescent="0.25">
      <c r="I180" s="4"/>
      <c r="N180" s="5"/>
      <c r="O180" s="4"/>
      <c r="P180" s="4"/>
    </row>
    <row r="181" spans="9:16" x14ac:dyDescent="0.25">
      <c r="I181" s="4"/>
      <c r="N181" s="5"/>
      <c r="O181" s="4"/>
      <c r="P181" s="4"/>
    </row>
    <row r="182" spans="9:16" x14ac:dyDescent="0.25">
      <c r="I182" s="4"/>
      <c r="N182" s="5"/>
      <c r="O182" s="4"/>
      <c r="P182" s="4"/>
    </row>
    <row r="183" spans="9:16" x14ac:dyDescent="0.25">
      <c r="I183" s="4"/>
      <c r="N183" s="5"/>
      <c r="O183" s="4"/>
      <c r="P183" s="4"/>
    </row>
    <row r="184" spans="9:16" x14ac:dyDescent="0.25">
      <c r="I184" s="4"/>
      <c r="N184" s="5"/>
      <c r="O184" s="4"/>
      <c r="P184" s="4"/>
    </row>
    <row r="185" spans="9:16" x14ac:dyDescent="0.25">
      <c r="I185" s="4"/>
      <c r="N185" s="5"/>
      <c r="O185" s="4"/>
      <c r="P185" s="4"/>
    </row>
    <row r="186" spans="9:16" x14ac:dyDescent="0.25">
      <c r="I186" s="4"/>
      <c r="N186" s="5"/>
      <c r="O186" s="4"/>
      <c r="P186" s="4"/>
    </row>
    <row r="187" spans="9:16" x14ac:dyDescent="0.25">
      <c r="I187" s="4"/>
      <c r="N187" s="5"/>
      <c r="O187" s="4"/>
      <c r="P187" s="4"/>
    </row>
    <row r="188" spans="9:16" x14ac:dyDescent="0.25">
      <c r="I188" s="4"/>
      <c r="N188" s="5"/>
      <c r="O188" s="4"/>
      <c r="P188" s="4"/>
    </row>
    <row r="189" spans="9:16" x14ac:dyDescent="0.25">
      <c r="I189" s="4"/>
      <c r="N189" s="5"/>
      <c r="O189" s="4"/>
      <c r="P189" s="4"/>
    </row>
    <row r="190" spans="9:16" x14ac:dyDescent="0.25">
      <c r="I190" s="4"/>
      <c r="N190" s="5"/>
      <c r="O190" s="4"/>
      <c r="P190" s="4"/>
    </row>
    <row r="191" spans="9:16" x14ac:dyDescent="0.25">
      <c r="I191" s="4"/>
      <c r="N191" s="5"/>
      <c r="O191" s="4"/>
      <c r="P191" s="4"/>
    </row>
    <row r="192" spans="9:16" x14ac:dyDescent="0.25">
      <c r="I192" s="4"/>
      <c r="N192" s="5"/>
      <c r="O192" s="4"/>
      <c r="P192" s="4"/>
    </row>
    <row r="193" spans="9:16" x14ac:dyDescent="0.25">
      <c r="I193" s="4"/>
      <c r="N193" s="5"/>
      <c r="O193" s="4"/>
      <c r="P193" s="4"/>
    </row>
    <row r="194" spans="9:16" x14ac:dyDescent="0.25">
      <c r="I194" s="4"/>
      <c r="N194" s="5"/>
      <c r="O194" s="4"/>
      <c r="P194" s="4"/>
    </row>
    <row r="195" spans="9:16" x14ac:dyDescent="0.25">
      <c r="I195" s="4"/>
      <c r="N195" s="5"/>
      <c r="O195" s="4"/>
      <c r="P195" s="4"/>
    </row>
    <row r="196" spans="9:16" x14ac:dyDescent="0.25">
      <c r="I196" s="4"/>
      <c r="N196" s="5"/>
      <c r="O196" s="4"/>
      <c r="P196" s="4"/>
    </row>
    <row r="197" spans="9:16" x14ac:dyDescent="0.25">
      <c r="I197" s="4"/>
      <c r="N197" s="5"/>
      <c r="O197" s="4"/>
      <c r="P197" s="4"/>
    </row>
    <row r="198" spans="9:16" x14ac:dyDescent="0.25">
      <c r="I198" s="4"/>
      <c r="N198" s="5"/>
      <c r="O198" s="4"/>
      <c r="P198" s="4"/>
    </row>
    <row r="199" spans="9:16" x14ac:dyDescent="0.25">
      <c r="I199" s="4"/>
      <c r="N199" s="5"/>
      <c r="O199" s="4"/>
      <c r="P199" s="4"/>
    </row>
    <row r="200" spans="9:16" x14ac:dyDescent="0.25">
      <c r="I200" s="4"/>
      <c r="N200" s="5"/>
      <c r="O200" s="4"/>
      <c r="P200" s="4"/>
    </row>
    <row r="201" spans="9:16" x14ac:dyDescent="0.25">
      <c r="I201" s="4"/>
      <c r="N201" s="5"/>
      <c r="O201" s="4"/>
      <c r="P201" s="4"/>
    </row>
    <row r="202" spans="9:16" x14ac:dyDescent="0.25">
      <c r="I202" s="4"/>
      <c r="N202" s="5"/>
      <c r="O202" s="4"/>
      <c r="P202" s="4"/>
    </row>
    <row r="203" spans="9:16" x14ac:dyDescent="0.25">
      <c r="I203" s="4"/>
      <c r="N203" s="5"/>
      <c r="O203" s="4"/>
      <c r="P203" s="4"/>
    </row>
    <row r="204" spans="9:16" x14ac:dyDescent="0.25">
      <c r="I204" s="4"/>
      <c r="N204" s="5"/>
      <c r="O204" s="4"/>
      <c r="P204" s="4"/>
    </row>
    <row r="205" spans="9:16" x14ac:dyDescent="0.25">
      <c r="I205" s="4"/>
      <c r="N205" s="5"/>
      <c r="O205" s="4"/>
      <c r="P205" s="4"/>
    </row>
    <row r="206" spans="9:16" x14ac:dyDescent="0.25">
      <c r="I206" s="4"/>
      <c r="N206" s="5"/>
      <c r="O206" s="4"/>
      <c r="P206" s="4"/>
    </row>
    <row r="207" spans="9:16" x14ac:dyDescent="0.25">
      <c r="I207" s="4"/>
      <c r="N207" s="5"/>
      <c r="O207" s="4"/>
      <c r="P207" s="4"/>
    </row>
    <row r="208" spans="9:16" x14ac:dyDescent="0.25">
      <c r="I208" s="4"/>
      <c r="N208" s="5"/>
      <c r="O208" s="4"/>
      <c r="P208" s="4"/>
    </row>
    <row r="209" spans="9:16" x14ac:dyDescent="0.25">
      <c r="I209" s="4"/>
      <c r="N209" s="5"/>
      <c r="O209" s="4"/>
      <c r="P209" s="4"/>
    </row>
    <row r="210" spans="9:16" x14ac:dyDescent="0.25">
      <c r="I210" s="4"/>
      <c r="N210" s="5"/>
      <c r="O210" s="4"/>
      <c r="P210" s="4"/>
    </row>
    <row r="211" spans="9:16" x14ac:dyDescent="0.25">
      <c r="I211" s="4"/>
      <c r="N211" s="5"/>
      <c r="O211" s="4"/>
      <c r="P211" s="4"/>
    </row>
    <row r="212" spans="9:16" x14ac:dyDescent="0.25">
      <c r="I212" s="4"/>
      <c r="N212" s="5"/>
      <c r="O212" s="4"/>
      <c r="P212" s="4"/>
    </row>
    <row r="213" spans="9:16" x14ac:dyDescent="0.25">
      <c r="I213" s="4"/>
      <c r="N213" s="5"/>
      <c r="O213" s="4"/>
      <c r="P213" s="4"/>
    </row>
    <row r="214" spans="9:16" x14ac:dyDescent="0.25">
      <c r="I214" s="4"/>
      <c r="N214" s="5"/>
      <c r="O214" s="4"/>
      <c r="P214" s="4"/>
    </row>
    <row r="215" spans="9:16" x14ac:dyDescent="0.25">
      <c r="I215" s="4"/>
      <c r="N215" s="5"/>
      <c r="O215" s="4"/>
      <c r="P215" s="4"/>
    </row>
    <row r="216" spans="9:16" x14ac:dyDescent="0.25">
      <c r="I216" s="4"/>
      <c r="N216" s="5"/>
      <c r="O216" s="4"/>
      <c r="P216" s="4"/>
    </row>
    <row r="217" spans="9:16" x14ac:dyDescent="0.25">
      <c r="I217" s="4"/>
      <c r="N217" s="5"/>
      <c r="O217" s="4"/>
      <c r="P217" s="4"/>
    </row>
    <row r="218" spans="9:16" x14ac:dyDescent="0.25">
      <c r="I218" s="4"/>
      <c r="N218" s="5"/>
      <c r="O218" s="4"/>
      <c r="P218" s="4"/>
    </row>
    <row r="219" spans="9:16" x14ac:dyDescent="0.25">
      <c r="I219" s="4"/>
      <c r="N219" s="5"/>
      <c r="O219" s="4"/>
      <c r="P219" s="4"/>
    </row>
    <row r="220" spans="9:16" x14ac:dyDescent="0.25">
      <c r="I220" s="4"/>
      <c r="N220" s="5"/>
      <c r="O220" s="4"/>
      <c r="P220" s="4"/>
    </row>
    <row r="221" spans="9:16" x14ac:dyDescent="0.25">
      <c r="I221" s="4"/>
      <c r="N221" s="5"/>
      <c r="O221" s="4"/>
      <c r="P221" s="4"/>
    </row>
    <row r="222" spans="9:16" x14ac:dyDescent="0.25">
      <c r="I222" s="4"/>
      <c r="N222" s="5"/>
      <c r="O222" s="4"/>
      <c r="P222" s="4"/>
    </row>
    <row r="223" spans="9:16" x14ac:dyDescent="0.25">
      <c r="I223" s="4"/>
      <c r="N223" s="5"/>
      <c r="O223" s="4"/>
      <c r="P223" s="4"/>
    </row>
    <row r="224" spans="9:16" x14ac:dyDescent="0.25">
      <c r="I224" s="4"/>
      <c r="N224" s="5"/>
      <c r="O224" s="4"/>
      <c r="P224" s="4"/>
    </row>
    <row r="225" spans="9:16" x14ac:dyDescent="0.25">
      <c r="I225" s="4"/>
      <c r="N225" s="5"/>
      <c r="O225" s="4"/>
      <c r="P225" s="4"/>
    </row>
    <row r="226" spans="9:16" x14ac:dyDescent="0.25">
      <c r="I226" s="4"/>
      <c r="N226" s="5"/>
      <c r="O226" s="4"/>
      <c r="P226" s="4"/>
    </row>
    <row r="227" spans="9:16" x14ac:dyDescent="0.25">
      <c r="I227" s="4"/>
      <c r="N227" s="5"/>
      <c r="O227" s="4"/>
      <c r="P227" s="4"/>
    </row>
    <row r="228" spans="9:16" x14ac:dyDescent="0.25">
      <c r="I228" s="4"/>
      <c r="N228" s="5"/>
      <c r="O228" s="4"/>
      <c r="P228" s="4"/>
    </row>
    <row r="229" spans="9:16" x14ac:dyDescent="0.25">
      <c r="I229" s="4"/>
      <c r="N229" s="5"/>
      <c r="O229" s="4"/>
      <c r="P229" s="4"/>
    </row>
    <row r="230" spans="9:16" x14ac:dyDescent="0.25">
      <c r="I230" s="4"/>
      <c r="N230" s="5"/>
      <c r="O230" s="4"/>
      <c r="P230" s="4"/>
    </row>
    <row r="231" spans="9:16" x14ac:dyDescent="0.25">
      <c r="I231" s="4"/>
      <c r="N231" s="5"/>
      <c r="O231" s="4"/>
      <c r="P231" s="4"/>
    </row>
    <row r="232" spans="9:16" x14ac:dyDescent="0.25">
      <c r="I232" s="4"/>
      <c r="N232" s="5"/>
      <c r="O232" s="4"/>
      <c r="P232" s="4"/>
    </row>
    <row r="233" spans="9:16" x14ac:dyDescent="0.25">
      <c r="I233" s="4"/>
      <c r="N233" s="5"/>
      <c r="O233" s="4"/>
      <c r="P233" s="4"/>
    </row>
    <row r="234" spans="9:16" x14ac:dyDescent="0.25">
      <c r="I234" s="4"/>
      <c r="N234" s="5"/>
      <c r="O234" s="4"/>
      <c r="P234" s="4"/>
    </row>
    <row r="235" spans="9:16" x14ac:dyDescent="0.25">
      <c r="I235" s="4"/>
      <c r="N235" s="5"/>
      <c r="O235" s="4"/>
      <c r="P235" s="4"/>
    </row>
    <row r="236" spans="9:16" x14ac:dyDescent="0.25">
      <c r="I236" s="4"/>
      <c r="N236" s="5"/>
      <c r="O236" s="4"/>
      <c r="P236" s="4"/>
    </row>
    <row r="237" spans="9:16" x14ac:dyDescent="0.25">
      <c r="I237" s="4"/>
      <c r="N237" s="5"/>
      <c r="O237" s="4"/>
      <c r="P237" s="4"/>
    </row>
    <row r="238" spans="9:16" x14ac:dyDescent="0.25">
      <c r="I238" s="4"/>
      <c r="N238" s="5"/>
      <c r="O238" s="4"/>
      <c r="P238" s="4"/>
    </row>
    <row r="239" spans="9:16" x14ac:dyDescent="0.25">
      <c r="I239" s="4"/>
      <c r="N239" s="5"/>
      <c r="O239" s="4"/>
      <c r="P239" s="4"/>
    </row>
    <row r="240" spans="9:16" x14ac:dyDescent="0.25">
      <c r="I240" s="4"/>
      <c r="N240" s="5"/>
      <c r="O240" s="4"/>
      <c r="P240" s="4"/>
    </row>
    <row r="241" spans="9:16" x14ac:dyDescent="0.25">
      <c r="I241" s="4"/>
      <c r="N241" s="5"/>
      <c r="O241" s="4"/>
      <c r="P241" s="4"/>
    </row>
    <row r="242" spans="9:16" x14ac:dyDescent="0.25">
      <c r="I242" s="4"/>
      <c r="N242" s="5"/>
      <c r="O242" s="4"/>
      <c r="P242" s="4"/>
    </row>
    <row r="243" spans="9:16" x14ac:dyDescent="0.25">
      <c r="I243" s="4"/>
      <c r="N243" s="5"/>
      <c r="O243" s="4"/>
      <c r="P243" s="4"/>
    </row>
    <row r="244" spans="9:16" x14ac:dyDescent="0.25">
      <c r="I244" s="4"/>
      <c r="N244" s="5"/>
      <c r="O244" s="4"/>
      <c r="P244" s="4"/>
    </row>
    <row r="245" spans="9:16" x14ac:dyDescent="0.25">
      <c r="I245" s="4"/>
      <c r="N245" s="5"/>
      <c r="O245" s="4"/>
      <c r="P245" s="4"/>
    </row>
    <row r="246" spans="9:16" x14ac:dyDescent="0.25">
      <c r="I246" s="4"/>
      <c r="N246" s="5"/>
      <c r="O246" s="4"/>
      <c r="P246" s="4"/>
    </row>
    <row r="247" spans="9:16" x14ac:dyDescent="0.25">
      <c r="I247" s="4"/>
      <c r="N247" s="5"/>
      <c r="O247" s="4"/>
      <c r="P247" s="4"/>
    </row>
    <row r="248" spans="9:16" x14ac:dyDescent="0.25">
      <c r="I248" s="4"/>
      <c r="N248" s="5"/>
      <c r="O248" s="4"/>
      <c r="P248" s="4"/>
    </row>
    <row r="249" spans="9:16" x14ac:dyDescent="0.25">
      <c r="I249" s="4"/>
      <c r="N249" s="5"/>
      <c r="O249" s="4"/>
      <c r="P249" s="4"/>
    </row>
    <row r="250" spans="9:16" x14ac:dyDescent="0.25">
      <c r="I250" s="4"/>
      <c r="N250" s="5"/>
      <c r="O250" s="4"/>
      <c r="P250" s="4"/>
    </row>
    <row r="251" spans="9:16" x14ac:dyDescent="0.25">
      <c r="I251" s="4"/>
      <c r="N251" s="5"/>
      <c r="O251" s="4"/>
      <c r="P251" s="4"/>
    </row>
    <row r="252" spans="9:16" x14ac:dyDescent="0.25">
      <c r="I252" s="4"/>
      <c r="N252" s="5"/>
      <c r="O252" s="4"/>
      <c r="P252" s="4"/>
    </row>
    <row r="253" spans="9:16" x14ac:dyDescent="0.25">
      <c r="I253" s="4"/>
      <c r="N253" s="5"/>
      <c r="O253" s="4"/>
      <c r="P253" s="4"/>
    </row>
    <row r="254" spans="9:16" x14ac:dyDescent="0.25">
      <c r="I254" s="4"/>
      <c r="N254" s="5"/>
      <c r="O254" s="4"/>
      <c r="P254" s="4"/>
    </row>
    <row r="255" spans="9:16" x14ac:dyDescent="0.25">
      <c r="I255" s="4"/>
      <c r="N255" s="5"/>
      <c r="O255" s="4"/>
      <c r="P255" s="4"/>
    </row>
    <row r="256" spans="9:16" x14ac:dyDescent="0.25">
      <c r="I256" s="4"/>
      <c r="N256" s="5"/>
      <c r="O256" s="4"/>
      <c r="P256" s="4"/>
    </row>
    <row r="257" spans="9:16" x14ac:dyDescent="0.25">
      <c r="I257" s="4"/>
      <c r="N257" s="5"/>
      <c r="O257" s="4"/>
      <c r="P257" s="4"/>
    </row>
    <row r="258" spans="9:16" x14ac:dyDescent="0.25">
      <c r="I258" s="4"/>
      <c r="N258" s="5"/>
      <c r="O258" s="4"/>
      <c r="P258" s="4"/>
    </row>
    <row r="259" spans="9:16" x14ac:dyDescent="0.25">
      <c r="I259" s="4"/>
      <c r="N259" s="5"/>
      <c r="O259" s="4"/>
      <c r="P259" s="4"/>
    </row>
    <row r="260" spans="9:16" x14ac:dyDescent="0.25">
      <c r="I260" s="4"/>
      <c r="N260" s="5"/>
      <c r="O260" s="4"/>
      <c r="P260" s="4"/>
    </row>
    <row r="261" spans="9:16" x14ac:dyDescent="0.25">
      <c r="I261" s="4"/>
      <c r="N261" s="5"/>
      <c r="O261" s="4"/>
      <c r="P261" s="4"/>
    </row>
    <row r="262" spans="9:16" x14ac:dyDescent="0.25">
      <c r="I262" s="4"/>
      <c r="N262" s="5"/>
      <c r="O262" s="4"/>
      <c r="P262" s="4"/>
    </row>
    <row r="263" spans="9:16" x14ac:dyDescent="0.25">
      <c r="I263" s="4"/>
      <c r="N263" s="5"/>
      <c r="O263" s="4"/>
      <c r="P263" s="4"/>
    </row>
    <row r="264" spans="9:16" x14ac:dyDescent="0.25">
      <c r="I264" s="4"/>
      <c r="N264" s="5"/>
      <c r="O264" s="4"/>
      <c r="P264" s="4"/>
    </row>
    <row r="265" spans="9:16" x14ac:dyDescent="0.25">
      <c r="I265" s="4"/>
      <c r="N265" s="5"/>
      <c r="O265" s="4"/>
      <c r="P265" s="4"/>
    </row>
    <row r="266" spans="9:16" x14ac:dyDescent="0.25">
      <c r="I266" s="4"/>
      <c r="N266" s="5"/>
      <c r="O266" s="4"/>
      <c r="P266" s="4"/>
    </row>
    <row r="267" spans="9:16" x14ac:dyDescent="0.25">
      <c r="I267" s="4"/>
      <c r="N267" s="5"/>
      <c r="O267" s="4"/>
      <c r="P267" s="4"/>
    </row>
    <row r="268" spans="9:16" x14ac:dyDescent="0.25">
      <c r="I268" s="4"/>
      <c r="N268" s="5"/>
      <c r="O268" s="4"/>
      <c r="P268" s="4"/>
    </row>
    <row r="269" spans="9:16" x14ac:dyDescent="0.25">
      <c r="I269" s="4"/>
      <c r="N269" s="5"/>
      <c r="O269" s="4"/>
      <c r="P269" s="4"/>
    </row>
    <row r="270" spans="9:16" x14ac:dyDescent="0.25">
      <c r="I270" s="4"/>
      <c r="N270" s="5"/>
      <c r="O270" s="4"/>
      <c r="P270" s="4"/>
    </row>
    <row r="271" spans="9:16" x14ac:dyDescent="0.25">
      <c r="I271" s="4"/>
      <c r="N271" s="5"/>
      <c r="O271" s="4"/>
      <c r="P271" s="4"/>
    </row>
    <row r="272" spans="9:16" x14ac:dyDescent="0.25">
      <c r="I272" s="4"/>
      <c r="N272" s="5"/>
      <c r="O272" s="4"/>
      <c r="P272" s="4"/>
    </row>
    <row r="273" spans="9:16" x14ac:dyDescent="0.25">
      <c r="I273" s="4"/>
      <c r="N273" s="5"/>
      <c r="O273" s="4"/>
      <c r="P273" s="4"/>
    </row>
    <row r="274" spans="9:16" x14ac:dyDescent="0.25">
      <c r="I274" s="4"/>
      <c r="N274" s="5"/>
      <c r="O274" s="4"/>
      <c r="P274" s="4"/>
    </row>
    <row r="275" spans="9:16" x14ac:dyDescent="0.25">
      <c r="I275" s="4"/>
      <c r="N275" s="5"/>
      <c r="O275" s="4"/>
      <c r="P275" s="4"/>
    </row>
    <row r="276" spans="9:16" x14ac:dyDescent="0.25">
      <c r="I276" s="4"/>
      <c r="N276" s="5"/>
      <c r="O276" s="4"/>
      <c r="P276" s="4"/>
    </row>
    <row r="277" spans="9:16" x14ac:dyDescent="0.25">
      <c r="I277" s="4"/>
      <c r="N277" s="5"/>
      <c r="O277" s="4"/>
      <c r="P277" s="4"/>
    </row>
    <row r="278" spans="9:16" x14ac:dyDescent="0.25">
      <c r="I278" s="4"/>
      <c r="N278" s="5"/>
      <c r="O278" s="4"/>
      <c r="P278" s="4"/>
    </row>
    <row r="279" spans="9:16" x14ac:dyDescent="0.25">
      <c r="I279" s="4"/>
      <c r="N279" s="5"/>
      <c r="O279" s="4"/>
      <c r="P279" s="4"/>
    </row>
    <row r="280" spans="9:16" x14ac:dyDescent="0.25">
      <c r="I280" s="4"/>
      <c r="N280" s="5"/>
      <c r="O280" s="4"/>
      <c r="P280" s="4"/>
    </row>
    <row r="281" spans="9:16" x14ac:dyDescent="0.25">
      <c r="I281" s="4"/>
      <c r="N281" s="5"/>
      <c r="O281" s="4"/>
      <c r="P281" s="4"/>
    </row>
    <row r="282" spans="9:16" x14ac:dyDescent="0.25">
      <c r="I282" s="4"/>
      <c r="N282" s="5"/>
      <c r="O282" s="4"/>
      <c r="P282" s="4"/>
    </row>
    <row r="283" spans="9:16" x14ac:dyDescent="0.25">
      <c r="I283" s="4"/>
      <c r="N283" s="5"/>
      <c r="O283" s="4"/>
      <c r="P283" s="4"/>
    </row>
    <row r="284" spans="9:16" x14ac:dyDescent="0.25">
      <c r="I284" s="4"/>
      <c r="N284" s="5"/>
      <c r="O284" s="4"/>
      <c r="P284" s="4"/>
    </row>
    <row r="285" spans="9:16" x14ac:dyDescent="0.25">
      <c r="I285" s="4"/>
      <c r="N285" s="5"/>
      <c r="O285" s="4"/>
      <c r="P285" s="4"/>
    </row>
    <row r="286" spans="9:16" x14ac:dyDescent="0.25">
      <c r="I286" s="4"/>
      <c r="N286" s="5"/>
      <c r="O286" s="4"/>
      <c r="P286" s="4"/>
    </row>
    <row r="287" spans="9:16" x14ac:dyDescent="0.25">
      <c r="I287" s="4"/>
      <c r="N287" s="5"/>
      <c r="O287" s="4"/>
      <c r="P287" s="4"/>
    </row>
    <row r="288" spans="9:16" x14ac:dyDescent="0.25">
      <c r="I288" s="4"/>
      <c r="N288" s="5"/>
      <c r="O288" s="4"/>
      <c r="P288" s="4"/>
    </row>
    <row r="289" spans="9:16" x14ac:dyDescent="0.25">
      <c r="I289" s="4"/>
      <c r="N289" s="5"/>
      <c r="O289" s="4"/>
      <c r="P289" s="4"/>
    </row>
    <row r="290" spans="9:16" x14ac:dyDescent="0.25">
      <c r="I290" s="4"/>
      <c r="N290" s="5"/>
      <c r="O290" s="4"/>
      <c r="P290" s="4"/>
    </row>
    <row r="291" spans="9:16" x14ac:dyDescent="0.25">
      <c r="I291" s="4"/>
      <c r="N291" s="5"/>
      <c r="O291" s="4"/>
      <c r="P291" s="4"/>
    </row>
    <row r="292" spans="9:16" x14ac:dyDescent="0.25">
      <c r="I292" s="4"/>
      <c r="N292" s="5"/>
      <c r="O292" s="4"/>
      <c r="P292" s="4"/>
    </row>
    <row r="293" spans="9:16" x14ac:dyDescent="0.25">
      <c r="I293" s="4"/>
      <c r="N293" s="5"/>
      <c r="O293" s="4"/>
      <c r="P293" s="4"/>
    </row>
    <row r="294" spans="9:16" x14ac:dyDescent="0.25">
      <c r="I294" s="4"/>
      <c r="N294" s="5"/>
      <c r="O294" s="4"/>
      <c r="P294" s="4"/>
    </row>
    <row r="295" spans="9:16" x14ac:dyDescent="0.25">
      <c r="I295" s="4"/>
      <c r="N295" s="5"/>
      <c r="O295" s="4"/>
      <c r="P295" s="4"/>
    </row>
    <row r="296" spans="9:16" x14ac:dyDescent="0.25">
      <c r="I296" s="4"/>
      <c r="N296" s="5"/>
      <c r="O296" s="4"/>
      <c r="P296" s="4"/>
    </row>
    <row r="297" spans="9:16" x14ac:dyDescent="0.25">
      <c r="I297" s="4"/>
      <c r="N297" s="5"/>
      <c r="O297" s="4"/>
      <c r="P297" s="4"/>
    </row>
    <row r="298" spans="9:16" x14ac:dyDescent="0.25">
      <c r="I298" s="4"/>
      <c r="N298" s="5"/>
      <c r="O298" s="4"/>
      <c r="P298" s="4"/>
    </row>
    <row r="299" spans="9:16" x14ac:dyDescent="0.25">
      <c r="I299" s="4"/>
      <c r="N299" s="5"/>
      <c r="O299" s="4"/>
      <c r="P299" s="4"/>
    </row>
    <row r="300" spans="9:16" x14ac:dyDescent="0.25">
      <c r="I300" s="4"/>
      <c r="N300" s="5"/>
      <c r="O300" s="4"/>
      <c r="P300" s="4"/>
    </row>
    <row r="301" spans="9:16" x14ac:dyDescent="0.25">
      <c r="I301" s="4"/>
      <c r="N301" s="5"/>
      <c r="O301" s="4"/>
      <c r="P301" s="4"/>
    </row>
    <row r="302" spans="9:16" x14ac:dyDescent="0.25">
      <c r="I302" s="4"/>
      <c r="N302" s="5"/>
      <c r="O302" s="4"/>
      <c r="P302" s="4"/>
    </row>
    <row r="303" spans="9:16" x14ac:dyDescent="0.25">
      <c r="I303" s="4"/>
      <c r="N303" s="5"/>
      <c r="O303" s="4"/>
      <c r="P303" s="4"/>
    </row>
    <row r="304" spans="9:16" x14ac:dyDescent="0.25">
      <c r="I304" s="4"/>
      <c r="N304" s="5"/>
      <c r="O304" s="4"/>
      <c r="P304" s="4"/>
    </row>
    <row r="305" spans="9:16" x14ac:dyDescent="0.25">
      <c r="I305" s="4"/>
      <c r="N305" s="5"/>
      <c r="O305" s="4"/>
      <c r="P305" s="4"/>
    </row>
    <row r="306" spans="9:16" x14ac:dyDescent="0.25">
      <c r="I306" s="4"/>
      <c r="N306" s="5"/>
      <c r="O306" s="4"/>
      <c r="P306" s="4"/>
    </row>
    <row r="307" spans="9:16" x14ac:dyDescent="0.25">
      <c r="I307" s="4"/>
      <c r="N307" s="5"/>
      <c r="O307" s="4"/>
      <c r="P307" s="4"/>
    </row>
    <row r="308" spans="9:16" x14ac:dyDescent="0.25">
      <c r="I308" s="4"/>
      <c r="N308" s="5"/>
      <c r="O308" s="4"/>
      <c r="P308" s="4"/>
    </row>
    <row r="309" spans="9:16" x14ac:dyDescent="0.25">
      <c r="I309" s="4"/>
      <c r="N309" s="5"/>
      <c r="O309" s="4"/>
      <c r="P309" s="4"/>
    </row>
    <row r="310" spans="9:16" x14ac:dyDescent="0.25">
      <c r="I310" s="4"/>
      <c r="N310" s="5"/>
      <c r="O310" s="4"/>
      <c r="P310" s="4"/>
    </row>
    <row r="311" spans="9:16" x14ac:dyDescent="0.25">
      <c r="I311" s="4"/>
      <c r="N311" s="5"/>
      <c r="O311" s="4"/>
      <c r="P311" s="4"/>
    </row>
    <row r="312" spans="9:16" x14ac:dyDescent="0.25">
      <c r="I312" s="4"/>
      <c r="N312" s="5"/>
      <c r="O312" s="4"/>
      <c r="P312" s="4"/>
    </row>
    <row r="313" spans="9:16" x14ac:dyDescent="0.25">
      <c r="I313" s="4"/>
      <c r="N313" s="5"/>
      <c r="O313" s="4"/>
      <c r="P313" s="4"/>
    </row>
    <row r="314" spans="9:16" x14ac:dyDescent="0.25">
      <c r="I314" s="4"/>
      <c r="N314" s="5"/>
      <c r="O314" s="4"/>
      <c r="P314" s="4"/>
    </row>
    <row r="315" spans="9:16" x14ac:dyDescent="0.25">
      <c r="I315" s="4"/>
      <c r="N315" s="5"/>
      <c r="O315" s="4"/>
      <c r="P315" s="4"/>
    </row>
    <row r="316" spans="9:16" x14ac:dyDescent="0.25">
      <c r="I316" s="4"/>
      <c r="N316" s="5"/>
      <c r="O316" s="4"/>
      <c r="P316" s="4"/>
    </row>
    <row r="317" spans="9:16" x14ac:dyDescent="0.25">
      <c r="I317" s="4"/>
      <c r="N317" s="5"/>
      <c r="O317" s="4"/>
      <c r="P317" s="4"/>
    </row>
    <row r="318" spans="9:16" x14ac:dyDescent="0.25">
      <c r="I318" s="4"/>
      <c r="N318" s="5"/>
      <c r="O318" s="4"/>
      <c r="P318" s="4"/>
    </row>
    <row r="319" spans="9:16" x14ac:dyDescent="0.25">
      <c r="I319" s="4"/>
      <c r="N319" s="5"/>
      <c r="O319" s="4"/>
      <c r="P319" s="4"/>
    </row>
    <row r="320" spans="9:16" x14ac:dyDescent="0.25">
      <c r="I320" s="4"/>
      <c r="N320" s="5"/>
      <c r="O320" s="4"/>
      <c r="P320" s="4"/>
    </row>
    <row r="321" spans="9:16" x14ac:dyDescent="0.25">
      <c r="I321" s="4"/>
      <c r="N321" s="5"/>
      <c r="O321" s="4"/>
      <c r="P321" s="4"/>
    </row>
    <row r="322" spans="9:16" x14ac:dyDescent="0.25">
      <c r="I322" s="4"/>
      <c r="N322" s="5"/>
      <c r="O322" s="4"/>
      <c r="P322" s="4"/>
    </row>
    <row r="323" spans="9:16" x14ac:dyDescent="0.25">
      <c r="I323" s="4"/>
      <c r="N323" s="5"/>
      <c r="O323" s="4"/>
      <c r="P323" s="4"/>
    </row>
    <row r="324" spans="9:16" x14ac:dyDescent="0.25">
      <c r="I324" s="4"/>
      <c r="N324" s="5"/>
      <c r="O324" s="4"/>
      <c r="P324" s="4"/>
    </row>
    <row r="325" spans="9:16" x14ac:dyDescent="0.25">
      <c r="I325" s="4"/>
      <c r="N325" s="5"/>
      <c r="O325" s="4"/>
      <c r="P325" s="4"/>
    </row>
    <row r="326" spans="9:16" x14ac:dyDescent="0.25">
      <c r="I326" s="4"/>
      <c r="N326" s="5"/>
      <c r="O326" s="4"/>
      <c r="P326" s="4"/>
    </row>
    <row r="327" spans="9:16" x14ac:dyDescent="0.25">
      <c r="I327" s="4"/>
      <c r="N327" s="5"/>
      <c r="O327" s="4"/>
      <c r="P327" s="4"/>
    </row>
    <row r="328" spans="9:16" x14ac:dyDescent="0.25">
      <c r="I328" s="4"/>
      <c r="N328" s="5"/>
      <c r="O328" s="4"/>
      <c r="P328" s="4"/>
    </row>
    <row r="329" spans="9:16" x14ac:dyDescent="0.25">
      <c r="I329" s="4"/>
      <c r="N329" s="5"/>
      <c r="O329" s="4"/>
      <c r="P329" s="4"/>
    </row>
    <row r="330" spans="9:16" x14ac:dyDescent="0.25">
      <c r="I330" s="4"/>
      <c r="N330" s="5"/>
      <c r="O330" s="4"/>
      <c r="P330" s="4"/>
    </row>
    <row r="331" spans="9:16" x14ac:dyDescent="0.25">
      <c r="I331" s="4"/>
      <c r="N331" s="5"/>
      <c r="O331" s="4"/>
      <c r="P331" s="4"/>
    </row>
    <row r="332" spans="9:16" x14ac:dyDescent="0.25">
      <c r="I332" s="4"/>
      <c r="N332" s="5"/>
      <c r="O332" s="4"/>
      <c r="P332" s="4"/>
    </row>
    <row r="333" spans="9:16" x14ac:dyDescent="0.25">
      <c r="I333" s="4"/>
      <c r="N333" s="5"/>
      <c r="O333" s="4"/>
      <c r="P333" s="4"/>
    </row>
    <row r="334" spans="9:16" x14ac:dyDescent="0.25">
      <c r="I334" s="4"/>
      <c r="N334" s="5"/>
      <c r="O334" s="4"/>
      <c r="P334" s="4"/>
    </row>
    <row r="335" spans="9:16" x14ac:dyDescent="0.25">
      <c r="I335" s="4"/>
      <c r="N335" s="5"/>
      <c r="O335" s="4"/>
      <c r="P335" s="4"/>
    </row>
    <row r="336" spans="9:16" x14ac:dyDescent="0.25">
      <c r="I336" s="4"/>
      <c r="N336" s="5"/>
      <c r="O336" s="4"/>
      <c r="P336" s="4"/>
    </row>
    <row r="337" spans="9:16" x14ac:dyDescent="0.25">
      <c r="I337" s="4"/>
      <c r="N337" s="5"/>
      <c r="O337" s="4"/>
      <c r="P337" s="4"/>
    </row>
    <row r="338" spans="9:16" x14ac:dyDescent="0.25">
      <c r="I338" s="4"/>
      <c r="N338" s="5"/>
      <c r="O338" s="4"/>
      <c r="P338" s="4"/>
    </row>
    <row r="339" spans="9:16" x14ac:dyDescent="0.25">
      <c r="I339" s="4"/>
      <c r="N339" s="5"/>
      <c r="O339" s="4"/>
      <c r="P339" s="4"/>
    </row>
    <row r="340" spans="9:16" x14ac:dyDescent="0.25">
      <c r="I340" s="4"/>
      <c r="N340" s="5"/>
      <c r="O340" s="4"/>
      <c r="P340" s="4"/>
    </row>
    <row r="341" spans="9:16" x14ac:dyDescent="0.25">
      <c r="I341" s="4"/>
      <c r="N341" s="5"/>
      <c r="O341" s="4"/>
      <c r="P341" s="4"/>
    </row>
    <row r="342" spans="9:16" x14ac:dyDescent="0.25">
      <c r="I342" s="4"/>
      <c r="N342" s="5"/>
      <c r="O342" s="4"/>
      <c r="P342" s="4"/>
    </row>
    <row r="343" spans="9:16" x14ac:dyDescent="0.25">
      <c r="I343" s="4"/>
      <c r="N343" s="5"/>
      <c r="O343" s="4"/>
      <c r="P343" s="4"/>
    </row>
    <row r="344" spans="9:16" x14ac:dyDescent="0.25">
      <c r="I344" s="4"/>
      <c r="N344" s="5"/>
      <c r="O344" s="4"/>
      <c r="P344" s="4"/>
    </row>
    <row r="345" spans="9:16" x14ac:dyDescent="0.25">
      <c r="I345" s="4"/>
      <c r="N345" s="5"/>
      <c r="O345" s="4"/>
      <c r="P345" s="4"/>
    </row>
    <row r="346" spans="9:16" x14ac:dyDescent="0.25">
      <c r="I346" s="4"/>
      <c r="N346" s="5"/>
      <c r="O346" s="4"/>
      <c r="P346" s="4"/>
    </row>
    <row r="347" spans="9:16" x14ac:dyDescent="0.25">
      <c r="I347" s="4"/>
      <c r="N347" s="5"/>
      <c r="O347" s="4"/>
      <c r="P347" s="4"/>
    </row>
    <row r="348" spans="9:16" x14ac:dyDescent="0.25">
      <c r="I348" s="4"/>
      <c r="N348" s="5"/>
      <c r="O348" s="4"/>
      <c r="P348" s="4"/>
    </row>
    <row r="349" spans="9:16" x14ac:dyDescent="0.25">
      <c r="I349" s="4"/>
      <c r="N349" s="5"/>
      <c r="O349" s="4"/>
      <c r="P349" s="4"/>
    </row>
    <row r="350" spans="9:16" x14ac:dyDescent="0.25">
      <c r="I350" s="4"/>
      <c r="N350" s="5"/>
      <c r="O350" s="4"/>
      <c r="P350" s="4"/>
    </row>
    <row r="351" spans="9:16" x14ac:dyDescent="0.25">
      <c r="I351" s="4"/>
      <c r="N351" s="5"/>
      <c r="O351" s="4"/>
      <c r="P351" s="4"/>
    </row>
    <row r="352" spans="9:16" x14ac:dyDescent="0.25">
      <c r="I352" s="4"/>
      <c r="N352" s="5"/>
      <c r="O352" s="4"/>
      <c r="P352" s="4"/>
    </row>
    <row r="353" spans="9:16" x14ac:dyDescent="0.25">
      <c r="I353" s="4"/>
      <c r="N353" s="5"/>
      <c r="O353" s="4"/>
      <c r="P353" s="4"/>
    </row>
    <row r="354" spans="9:16" x14ac:dyDescent="0.25">
      <c r="I354" s="4"/>
      <c r="N354" s="5"/>
      <c r="O354" s="4"/>
      <c r="P354" s="4"/>
    </row>
    <row r="355" spans="9:16" x14ac:dyDescent="0.25">
      <c r="I355" s="4"/>
      <c r="N355" s="5"/>
      <c r="O355" s="4"/>
      <c r="P355" s="4"/>
    </row>
    <row r="356" spans="9:16" x14ac:dyDescent="0.25">
      <c r="I356" s="4"/>
      <c r="N356" s="5"/>
      <c r="O356" s="4"/>
      <c r="P356" s="4"/>
    </row>
    <row r="357" spans="9:16" x14ac:dyDescent="0.25">
      <c r="I357" s="4"/>
      <c r="N357" s="5"/>
      <c r="O357" s="4"/>
      <c r="P357" s="4"/>
    </row>
    <row r="358" spans="9:16" x14ac:dyDescent="0.25">
      <c r="I358" s="4"/>
      <c r="N358" s="5"/>
      <c r="O358" s="4"/>
      <c r="P358" s="4"/>
    </row>
    <row r="359" spans="9:16" x14ac:dyDescent="0.25">
      <c r="I359" s="4"/>
      <c r="N359" s="5"/>
      <c r="O359" s="4"/>
      <c r="P359" s="4"/>
    </row>
    <row r="360" spans="9:16" x14ac:dyDescent="0.25">
      <c r="I360" s="4"/>
      <c r="N360" s="5"/>
      <c r="O360" s="4"/>
      <c r="P360" s="4"/>
    </row>
    <row r="361" spans="9:16" x14ac:dyDescent="0.25">
      <c r="I361" s="4"/>
      <c r="N361" s="5"/>
      <c r="O361" s="4"/>
      <c r="P361" s="4"/>
    </row>
    <row r="362" spans="9:16" x14ac:dyDescent="0.25">
      <c r="I362" s="4"/>
      <c r="N362" s="5"/>
      <c r="O362" s="4"/>
      <c r="P362" s="4"/>
    </row>
    <row r="363" spans="9:16" x14ac:dyDescent="0.25">
      <c r="I363" s="4"/>
      <c r="N363" s="5"/>
      <c r="O363" s="4"/>
      <c r="P363" s="4"/>
    </row>
    <row r="364" spans="9:16" x14ac:dyDescent="0.25">
      <c r="I364" s="4"/>
      <c r="N364" s="5"/>
      <c r="O364" s="4"/>
      <c r="P364" s="4"/>
    </row>
    <row r="365" spans="9:16" x14ac:dyDescent="0.25">
      <c r="I365" s="4"/>
      <c r="N365" s="5"/>
      <c r="O365" s="4"/>
      <c r="P365" s="4"/>
    </row>
    <row r="366" spans="9:16" x14ac:dyDescent="0.25">
      <c r="I366" s="4"/>
      <c r="N366" s="5"/>
      <c r="O366" s="4"/>
      <c r="P366" s="4"/>
    </row>
    <row r="367" spans="9:16" x14ac:dyDescent="0.25">
      <c r="I367" s="4"/>
      <c r="N367" s="5"/>
      <c r="O367" s="4"/>
      <c r="P367" s="4"/>
    </row>
    <row r="368" spans="9:16" x14ac:dyDescent="0.25">
      <c r="I368" s="4"/>
      <c r="N368" s="5"/>
      <c r="O368" s="4"/>
      <c r="P368" s="4"/>
    </row>
    <row r="369" spans="9:16" x14ac:dyDescent="0.25">
      <c r="I369" s="4"/>
      <c r="N369" s="5"/>
      <c r="O369" s="4"/>
      <c r="P369" s="4"/>
    </row>
    <row r="370" spans="9:16" x14ac:dyDescent="0.25">
      <c r="I370" s="4"/>
      <c r="N370" s="5"/>
      <c r="O370" s="4"/>
      <c r="P370" s="4"/>
    </row>
    <row r="371" spans="9:16" x14ac:dyDescent="0.25">
      <c r="I371" s="4"/>
      <c r="N371" s="5"/>
      <c r="O371" s="4"/>
      <c r="P371" s="4"/>
    </row>
    <row r="372" spans="9:16" x14ac:dyDescent="0.25">
      <c r="I372" s="4"/>
      <c r="N372" s="5"/>
      <c r="O372" s="4"/>
      <c r="P372" s="4"/>
    </row>
    <row r="373" spans="9:16" x14ac:dyDescent="0.25">
      <c r="I373" s="4"/>
      <c r="N373" s="5"/>
      <c r="O373" s="4"/>
      <c r="P373" s="4"/>
    </row>
    <row r="374" spans="9:16" x14ac:dyDescent="0.25">
      <c r="I374" s="4"/>
      <c r="N374" s="5"/>
      <c r="O374" s="4"/>
      <c r="P374" s="4"/>
    </row>
    <row r="375" spans="9:16" x14ac:dyDescent="0.25">
      <c r="I375" s="4"/>
      <c r="N375" s="5"/>
      <c r="O375" s="4"/>
      <c r="P375" s="4"/>
    </row>
    <row r="376" spans="9:16" x14ac:dyDescent="0.25">
      <c r="I376" s="4"/>
      <c r="N376" s="5"/>
      <c r="O376" s="4"/>
      <c r="P376" s="4"/>
    </row>
    <row r="377" spans="9:16" x14ac:dyDescent="0.25">
      <c r="I377" s="4"/>
      <c r="N377" s="5"/>
      <c r="O377" s="4"/>
      <c r="P377" s="4"/>
    </row>
    <row r="378" spans="9:16" x14ac:dyDescent="0.25">
      <c r="I378" s="4"/>
      <c r="N378" s="5"/>
      <c r="O378" s="4"/>
      <c r="P378" s="4"/>
    </row>
    <row r="379" spans="9:16" x14ac:dyDescent="0.25">
      <c r="I379" s="4"/>
      <c r="N379" s="5"/>
      <c r="O379" s="4"/>
      <c r="P379" s="4"/>
    </row>
    <row r="380" spans="9:16" x14ac:dyDescent="0.25">
      <c r="I380" s="4"/>
      <c r="N380" s="5"/>
      <c r="O380" s="4"/>
      <c r="P380" s="4"/>
    </row>
    <row r="381" spans="9:16" x14ac:dyDescent="0.25">
      <c r="I381" s="4"/>
      <c r="N381" s="5"/>
      <c r="O381" s="4"/>
      <c r="P381" s="4"/>
    </row>
    <row r="382" spans="9:16" x14ac:dyDescent="0.25">
      <c r="I382" s="4"/>
      <c r="N382" s="5"/>
      <c r="O382" s="4"/>
      <c r="P382" s="4"/>
    </row>
    <row r="383" spans="9:16" x14ac:dyDescent="0.25">
      <c r="I383" s="4"/>
      <c r="N383" s="5"/>
      <c r="O383" s="4"/>
      <c r="P383" s="4"/>
    </row>
    <row r="384" spans="9:16" x14ac:dyDescent="0.25">
      <c r="I384" s="4"/>
      <c r="N384" s="5"/>
      <c r="O384" s="4"/>
      <c r="P384" s="4"/>
    </row>
    <row r="385" spans="9:16" x14ac:dyDescent="0.25">
      <c r="I385" s="4"/>
      <c r="N385" s="5"/>
      <c r="O385" s="4"/>
      <c r="P385" s="4"/>
    </row>
    <row r="386" spans="9:16" x14ac:dyDescent="0.25">
      <c r="I386" s="4"/>
      <c r="N386" s="5"/>
      <c r="O386" s="4"/>
      <c r="P386" s="4"/>
    </row>
    <row r="387" spans="9:16" x14ac:dyDescent="0.25">
      <c r="I387" s="4"/>
      <c r="N387" s="5"/>
      <c r="O387" s="4"/>
      <c r="P387" s="4"/>
    </row>
    <row r="388" spans="9:16" x14ac:dyDescent="0.25">
      <c r="I388" s="4"/>
      <c r="N388" s="5"/>
      <c r="O388" s="4"/>
      <c r="P388" s="4"/>
    </row>
    <row r="389" spans="9:16" x14ac:dyDescent="0.25">
      <c r="I389" s="4"/>
      <c r="N389" s="5"/>
      <c r="O389" s="4"/>
      <c r="P389" s="4"/>
    </row>
    <row r="390" spans="9:16" x14ac:dyDescent="0.25">
      <c r="I390" s="4"/>
      <c r="N390" s="5"/>
      <c r="O390" s="4"/>
      <c r="P390" s="4"/>
    </row>
    <row r="391" spans="9:16" x14ac:dyDescent="0.25">
      <c r="I391" s="4"/>
      <c r="N391" s="5"/>
      <c r="O391" s="4"/>
      <c r="P391" s="4"/>
    </row>
    <row r="392" spans="9:16" x14ac:dyDescent="0.25">
      <c r="I392" s="4"/>
      <c r="N392" s="5"/>
      <c r="O392" s="4"/>
      <c r="P392" s="4"/>
    </row>
    <row r="393" spans="9:16" x14ac:dyDescent="0.25">
      <c r="I393" s="4"/>
      <c r="N393" s="5"/>
      <c r="O393" s="4"/>
      <c r="P393" s="4"/>
    </row>
    <row r="394" spans="9:16" x14ac:dyDescent="0.25">
      <c r="I394" s="4"/>
      <c r="N394" s="5"/>
      <c r="O394" s="4"/>
      <c r="P394" s="4"/>
    </row>
    <row r="395" spans="9:16" x14ac:dyDescent="0.25">
      <c r="I395" s="4"/>
      <c r="N395" s="5"/>
      <c r="O395" s="4"/>
      <c r="P395" s="4"/>
    </row>
    <row r="396" spans="9:16" x14ac:dyDescent="0.25">
      <c r="I396" s="4"/>
      <c r="N396" s="5"/>
      <c r="O396" s="4"/>
      <c r="P396" s="4"/>
    </row>
    <row r="397" spans="9:16" x14ac:dyDescent="0.25">
      <c r="I397" s="4"/>
      <c r="N397" s="5"/>
      <c r="O397" s="4"/>
      <c r="P397" s="4"/>
    </row>
    <row r="398" spans="9:16" x14ac:dyDescent="0.25">
      <c r="I398" s="4"/>
      <c r="N398" s="5"/>
      <c r="O398" s="4"/>
      <c r="P398" s="4"/>
    </row>
    <row r="399" spans="9:16" x14ac:dyDescent="0.25">
      <c r="I399" s="4"/>
      <c r="N399" s="5"/>
      <c r="O399" s="4"/>
      <c r="P399" s="4"/>
    </row>
    <row r="400" spans="9:16" x14ac:dyDescent="0.25">
      <c r="I400" s="4"/>
      <c r="N400" s="5"/>
      <c r="O400" s="4"/>
      <c r="P400" s="4"/>
    </row>
    <row r="401" spans="9:16" x14ac:dyDescent="0.25">
      <c r="I401" s="4"/>
      <c r="N401" s="5"/>
      <c r="O401" s="4"/>
      <c r="P401" s="4"/>
    </row>
    <row r="402" spans="9:16" x14ac:dyDescent="0.25">
      <c r="I402" s="4"/>
      <c r="N402" s="5"/>
      <c r="O402" s="4"/>
      <c r="P402" s="4"/>
    </row>
    <row r="403" spans="9:16" x14ac:dyDescent="0.25">
      <c r="I403" s="4"/>
      <c r="N403" s="5"/>
      <c r="O403" s="4"/>
      <c r="P403" s="4"/>
    </row>
    <row r="404" spans="9:16" x14ac:dyDescent="0.25">
      <c r="I404" s="4"/>
      <c r="N404" s="5"/>
      <c r="O404" s="4"/>
      <c r="P404" s="4"/>
    </row>
    <row r="405" spans="9:16" x14ac:dyDescent="0.25">
      <c r="I405" s="4"/>
      <c r="N405" s="5"/>
      <c r="O405" s="4"/>
      <c r="P405" s="4"/>
    </row>
    <row r="406" spans="9:16" x14ac:dyDescent="0.25">
      <c r="I406" s="4"/>
      <c r="N406" s="5"/>
      <c r="O406" s="4"/>
      <c r="P406" s="4"/>
    </row>
    <row r="407" spans="9:16" x14ac:dyDescent="0.25">
      <c r="I407" s="4"/>
      <c r="N407" s="5"/>
      <c r="O407" s="4"/>
      <c r="P407" s="4"/>
    </row>
    <row r="408" spans="9:16" x14ac:dyDescent="0.25">
      <c r="I408" s="4"/>
      <c r="N408" s="5"/>
      <c r="O408" s="4"/>
      <c r="P408" s="4"/>
    </row>
    <row r="409" spans="9:16" x14ac:dyDescent="0.25">
      <c r="I409" s="4"/>
      <c r="N409" s="5"/>
      <c r="O409" s="4"/>
      <c r="P409" s="4"/>
    </row>
    <row r="410" spans="9:16" x14ac:dyDescent="0.25">
      <c r="I410" s="4"/>
      <c r="N410" s="5"/>
      <c r="O410" s="4"/>
      <c r="P410" s="4"/>
    </row>
    <row r="411" spans="9:16" x14ac:dyDescent="0.25">
      <c r="I411" s="4"/>
      <c r="N411" s="5"/>
      <c r="O411" s="4"/>
      <c r="P411" s="4"/>
    </row>
    <row r="412" spans="9:16" x14ac:dyDescent="0.25">
      <c r="I412" s="4"/>
      <c r="N412" s="5"/>
      <c r="O412" s="4"/>
      <c r="P412" s="4"/>
    </row>
    <row r="413" spans="9:16" x14ac:dyDescent="0.25">
      <c r="I413" s="4"/>
      <c r="N413" s="5"/>
      <c r="O413" s="4"/>
      <c r="P413" s="4"/>
    </row>
    <row r="414" spans="9:16" x14ac:dyDescent="0.25">
      <c r="I414" s="4"/>
      <c r="N414" s="5"/>
      <c r="O414" s="4"/>
      <c r="P414" s="4"/>
    </row>
    <row r="415" spans="9:16" x14ac:dyDescent="0.25">
      <c r="I415" s="4"/>
      <c r="N415" s="5"/>
      <c r="O415" s="4"/>
      <c r="P415" s="4"/>
    </row>
    <row r="416" spans="9:16" x14ac:dyDescent="0.25">
      <c r="I416" s="4"/>
      <c r="N416" s="5"/>
      <c r="O416" s="4"/>
      <c r="P416" s="4"/>
    </row>
    <row r="417" spans="9:16" x14ac:dyDescent="0.25">
      <c r="I417" s="4"/>
      <c r="N417" s="5"/>
      <c r="O417" s="4"/>
      <c r="P417" s="4"/>
    </row>
    <row r="418" spans="9:16" x14ac:dyDescent="0.25">
      <c r="I418" s="4"/>
      <c r="N418" s="5"/>
      <c r="O418" s="4"/>
      <c r="P418" s="4"/>
    </row>
    <row r="419" spans="9:16" x14ac:dyDescent="0.25">
      <c r="I419" s="4"/>
      <c r="N419" s="5"/>
      <c r="O419" s="4"/>
      <c r="P419" s="4"/>
    </row>
    <row r="420" spans="9:16" x14ac:dyDescent="0.25">
      <c r="I420" s="4"/>
      <c r="N420" s="5"/>
      <c r="O420" s="4"/>
      <c r="P420" s="4"/>
    </row>
    <row r="421" spans="9:16" x14ac:dyDescent="0.25">
      <c r="I421" s="4"/>
      <c r="N421" s="5"/>
      <c r="O421" s="4"/>
      <c r="P421" s="4"/>
    </row>
    <row r="422" spans="9:16" x14ac:dyDescent="0.25">
      <c r="I422" s="4"/>
      <c r="N422" s="5"/>
      <c r="O422" s="4"/>
      <c r="P422" s="4"/>
    </row>
    <row r="423" spans="9:16" x14ac:dyDescent="0.25">
      <c r="I423" s="4"/>
      <c r="N423" s="5"/>
      <c r="O423" s="4"/>
      <c r="P423" s="4"/>
    </row>
    <row r="424" spans="9:16" x14ac:dyDescent="0.25">
      <c r="I424" s="4"/>
      <c r="N424" s="5"/>
      <c r="O424" s="4"/>
      <c r="P424" s="4"/>
    </row>
    <row r="425" spans="9:16" x14ac:dyDescent="0.25">
      <c r="I425" s="4"/>
      <c r="N425" s="5"/>
      <c r="O425" s="4"/>
      <c r="P425" s="4"/>
    </row>
    <row r="426" spans="9:16" x14ac:dyDescent="0.25">
      <c r="I426" s="4"/>
      <c r="N426" s="5"/>
      <c r="O426" s="4"/>
      <c r="P426" s="4"/>
    </row>
    <row r="427" spans="9:16" x14ac:dyDescent="0.25">
      <c r="I427" s="4"/>
      <c r="N427" s="5"/>
      <c r="O427" s="4"/>
      <c r="P427" s="4"/>
    </row>
    <row r="428" spans="9:16" x14ac:dyDescent="0.25">
      <c r="I428" s="4"/>
      <c r="N428" s="5"/>
      <c r="O428" s="4"/>
      <c r="P428" s="4"/>
    </row>
    <row r="429" spans="9:16" x14ac:dyDescent="0.25">
      <c r="I429" s="4"/>
      <c r="N429" s="5"/>
      <c r="O429" s="4"/>
      <c r="P429" s="4"/>
    </row>
    <row r="430" spans="9:16" x14ac:dyDescent="0.25">
      <c r="I430" s="4"/>
      <c r="N430" s="5"/>
      <c r="O430" s="4"/>
      <c r="P430" s="4"/>
    </row>
    <row r="431" spans="9:16" x14ac:dyDescent="0.25">
      <c r="I431" s="4"/>
      <c r="N431" s="5"/>
      <c r="O431" s="4"/>
      <c r="P431" s="4"/>
    </row>
    <row r="432" spans="9:16" x14ac:dyDescent="0.25">
      <c r="I432" s="4"/>
      <c r="N432" s="5"/>
      <c r="O432" s="4"/>
      <c r="P432" s="4"/>
    </row>
    <row r="433" spans="9:16" x14ac:dyDescent="0.25">
      <c r="I433" s="4"/>
      <c r="N433" s="5"/>
      <c r="O433" s="4"/>
      <c r="P433" s="4"/>
    </row>
    <row r="434" spans="9:16" x14ac:dyDescent="0.25">
      <c r="I434" s="4"/>
      <c r="N434" s="5"/>
      <c r="O434" s="4"/>
      <c r="P434" s="4"/>
    </row>
    <row r="435" spans="9:16" x14ac:dyDescent="0.25">
      <c r="I435" s="4"/>
      <c r="N435" s="5"/>
      <c r="O435" s="4"/>
      <c r="P435" s="4"/>
    </row>
    <row r="436" spans="9:16" x14ac:dyDescent="0.25">
      <c r="I436" s="4"/>
      <c r="N436" s="5"/>
      <c r="O436" s="4"/>
      <c r="P436" s="4"/>
    </row>
    <row r="437" spans="9:16" x14ac:dyDescent="0.25">
      <c r="I437" s="4"/>
      <c r="N437" s="5"/>
      <c r="O437" s="4"/>
      <c r="P437" s="4"/>
    </row>
    <row r="438" spans="9:16" x14ac:dyDescent="0.25">
      <c r="I438" s="4"/>
      <c r="N438" s="5"/>
      <c r="O438" s="4"/>
      <c r="P438" s="4"/>
    </row>
    <row r="439" spans="9:16" x14ac:dyDescent="0.25">
      <c r="I439" s="4"/>
      <c r="N439" s="5"/>
      <c r="O439" s="4"/>
      <c r="P439" s="4"/>
    </row>
    <row r="440" spans="9:16" x14ac:dyDescent="0.25">
      <c r="I440" s="4"/>
      <c r="N440" s="5"/>
      <c r="O440" s="4"/>
      <c r="P440" s="4"/>
    </row>
    <row r="441" spans="9:16" x14ac:dyDescent="0.25">
      <c r="I441" s="4"/>
      <c r="N441" s="5"/>
      <c r="O441" s="4"/>
      <c r="P441" s="4"/>
    </row>
    <row r="442" spans="9:16" x14ac:dyDescent="0.25">
      <c r="I442" s="4"/>
      <c r="N442" s="5"/>
      <c r="O442" s="4"/>
      <c r="P442" s="4"/>
    </row>
    <row r="443" spans="9:16" x14ac:dyDescent="0.25">
      <c r="I443" s="4"/>
      <c r="N443" s="5"/>
      <c r="O443" s="4"/>
      <c r="P443" s="4"/>
    </row>
    <row r="444" spans="9:16" x14ac:dyDescent="0.25">
      <c r="I444" s="4"/>
      <c r="N444" s="5"/>
      <c r="O444" s="4"/>
      <c r="P444" s="4"/>
    </row>
    <row r="445" spans="9:16" x14ac:dyDescent="0.25">
      <c r="I445" s="4"/>
      <c r="N445" s="5"/>
      <c r="O445" s="4"/>
      <c r="P445" s="4"/>
    </row>
    <row r="446" spans="9:16" x14ac:dyDescent="0.25">
      <c r="I446" s="4"/>
      <c r="N446" s="5"/>
      <c r="O446" s="4"/>
      <c r="P446" s="4"/>
    </row>
    <row r="447" spans="9:16" x14ac:dyDescent="0.25">
      <c r="I447" s="4"/>
      <c r="N447" s="5"/>
      <c r="O447" s="4"/>
      <c r="P447" s="4"/>
    </row>
    <row r="448" spans="9:16" x14ac:dyDescent="0.25">
      <c r="I448" s="4"/>
      <c r="N448" s="5"/>
      <c r="O448" s="4"/>
      <c r="P448" s="4"/>
    </row>
    <row r="449" spans="9:16" x14ac:dyDescent="0.25">
      <c r="I449" s="4"/>
      <c r="N449" s="5"/>
      <c r="O449" s="4"/>
      <c r="P449" s="4"/>
    </row>
    <row r="450" spans="9:16" x14ac:dyDescent="0.25">
      <c r="I450" s="4"/>
      <c r="N450" s="5"/>
      <c r="O450" s="4"/>
      <c r="P450" s="4"/>
    </row>
    <row r="451" spans="9:16" x14ac:dyDescent="0.25">
      <c r="I451" s="4"/>
      <c r="N451" s="5"/>
      <c r="O451" s="4"/>
      <c r="P451" s="4"/>
    </row>
    <row r="452" spans="9:16" x14ac:dyDescent="0.25">
      <c r="I452" s="4"/>
      <c r="N452" s="5"/>
      <c r="O452" s="4"/>
      <c r="P452" s="4"/>
    </row>
    <row r="453" spans="9:16" x14ac:dyDescent="0.25">
      <c r="I453" s="4"/>
      <c r="N453" s="5"/>
      <c r="O453" s="4"/>
      <c r="P453" s="4"/>
    </row>
    <row r="454" spans="9:16" x14ac:dyDescent="0.25">
      <c r="I454" s="4"/>
      <c r="N454" s="5"/>
      <c r="O454" s="4"/>
      <c r="P454" s="4"/>
    </row>
    <row r="455" spans="9:16" x14ac:dyDescent="0.25">
      <c r="I455" s="4"/>
      <c r="N455" s="5"/>
      <c r="O455" s="4"/>
      <c r="P455" s="4"/>
    </row>
    <row r="456" spans="9:16" x14ac:dyDescent="0.25">
      <c r="I456" s="4"/>
      <c r="N456" s="5"/>
      <c r="O456" s="4"/>
      <c r="P456" s="4"/>
    </row>
    <row r="457" spans="9:16" x14ac:dyDescent="0.25">
      <c r="I457" s="4"/>
      <c r="N457" s="5"/>
      <c r="O457" s="4"/>
      <c r="P457" s="4"/>
    </row>
    <row r="458" spans="9:16" x14ac:dyDescent="0.25">
      <c r="I458" s="4"/>
      <c r="N458" s="5"/>
      <c r="O458" s="4"/>
      <c r="P458" s="4"/>
    </row>
    <row r="459" spans="9:16" x14ac:dyDescent="0.25">
      <c r="I459" s="4"/>
      <c r="N459" s="5"/>
      <c r="O459" s="4"/>
      <c r="P459" s="4"/>
    </row>
    <row r="460" spans="9:16" x14ac:dyDescent="0.25">
      <c r="I460" s="4"/>
      <c r="N460" s="5"/>
      <c r="O460" s="4"/>
      <c r="P460" s="4"/>
    </row>
    <row r="461" spans="9:16" x14ac:dyDescent="0.25">
      <c r="I461" s="4"/>
      <c r="N461" s="5"/>
      <c r="O461" s="4"/>
      <c r="P461" s="4"/>
    </row>
    <row r="462" spans="9:16" x14ac:dyDescent="0.25">
      <c r="I462" s="4"/>
      <c r="N462" s="5"/>
      <c r="O462" s="4"/>
      <c r="P462" s="4"/>
    </row>
    <row r="463" spans="9:16" x14ac:dyDescent="0.25">
      <c r="I463" s="4"/>
      <c r="N463" s="5"/>
      <c r="O463" s="4"/>
      <c r="P463" s="4"/>
    </row>
    <row r="464" spans="9:16" x14ac:dyDescent="0.25">
      <c r="I464" s="4"/>
      <c r="N464" s="5"/>
      <c r="O464" s="4"/>
      <c r="P464" s="4"/>
    </row>
    <row r="465" spans="9:16" x14ac:dyDescent="0.25">
      <c r="I465" s="4"/>
      <c r="N465" s="5"/>
      <c r="O465" s="4"/>
      <c r="P465" s="4"/>
    </row>
    <row r="466" spans="9:16" x14ac:dyDescent="0.25">
      <c r="I466" s="4"/>
      <c r="N466" s="5"/>
      <c r="O466" s="4"/>
      <c r="P466" s="4"/>
    </row>
    <row r="467" spans="9:16" x14ac:dyDescent="0.25">
      <c r="I467" s="4"/>
      <c r="N467" s="5"/>
      <c r="O467" s="4"/>
      <c r="P467" s="4"/>
    </row>
    <row r="468" spans="9:16" x14ac:dyDescent="0.25">
      <c r="I468" s="4"/>
      <c r="N468" s="5"/>
      <c r="O468" s="4"/>
      <c r="P468" s="4"/>
    </row>
    <row r="469" spans="9:16" x14ac:dyDescent="0.25">
      <c r="I469" s="4"/>
      <c r="N469" s="5"/>
      <c r="O469" s="4"/>
      <c r="P469" s="4"/>
    </row>
    <row r="470" spans="9:16" x14ac:dyDescent="0.25">
      <c r="I470" s="4"/>
      <c r="N470" s="5"/>
      <c r="O470" s="4"/>
      <c r="P470" s="4"/>
    </row>
    <row r="471" spans="9:16" x14ac:dyDescent="0.25">
      <c r="I471" s="4"/>
      <c r="N471" s="5"/>
      <c r="O471" s="4"/>
      <c r="P471" s="4"/>
    </row>
    <row r="472" spans="9:16" x14ac:dyDescent="0.25">
      <c r="I472" s="4"/>
      <c r="N472" s="5"/>
      <c r="O472" s="4"/>
      <c r="P472" s="4"/>
    </row>
    <row r="473" spans="9:16" x14ac:dyDescent="0.25">
      <c r="I473" s="4"/>
      <c r="N473" s="5"/>
      <c r="O473" s="4"/>
      <c r="P473" s="4"/>
    </row>
    <row r="474" spans="9:16" x14ac:dyDescent="0.25">
      <c r="I474" s="4"/>
      <c r="N474" s="5"/>
      <c r="O474" s="4"/>
      <c r="P474" s="4"/>
    </row>
    <row r="475" spans="9:16" x14ac:dyDescent="0.25">
      <c r="I475" s="4"/>
      <c r="N475" s="5"/>
      <c r="O475" s="4"/>
      <c r="P475" s="4"/>
    </row>
    <row r="476" spans="9:16" x14ac:dyDescent="0.25">
      <c r="I476" s="4"/>
      <c r="N476" s="5"/>
      <c r="O476" s="4"/>
      <c r="P476" s="4"/>
    </row>
    <row r="477" spans="9:16" x14ac:dyDescent="0.25">
      <c r="I477" s="4"/>
      <c r="N477" s="5"/>
      <c r="O477" s="4"/>
      <c r="P477" s="4"/>
    </row>
    <row r="478" spans="9:16" x14ac:dyDescent="0.25">
      <c r="I478" s="4"/>
      <c r="N478" s="5"/>
      <c r="O478" s="4"/>
      <c r="P478" s="4"/>
    </row>
    <row r="479" spans="9:16" x14ac:dyDescent="0.25">
      <c r="I479" s="4"/>
      <c r="N479" s="5"/>
      <c r="O479" s="4"/>
      <c r="P479" s="4"/>
    </row>
    <row r="480" spans="9:16" x14ac:dyDescent="0.25">
      <c r="I480" s="4"/>
      <c r="N480" s="5"/>
      <c r="O480" s="4"/>
      <c r="P480" s="4"/>
    </row>
    <row r="481" spans="9:16" x14ac:dyDescent="0.25">
      <c r="I481" s="4"/>
      <c r="N481" s="5"/>
      <c r="O481" s="4"/>
      <c r="P481" s="4"/>
    </row>
    <row r="482" spans="9:16" x14ac:dyDescent="0.25">
      <c r="I482" s="4"/>
      <c r="N482" s="5"/>
      <c r="O482" s="4"/>
      <c r="P482" s="4"/>
    </row>
    <row r="483" spans="9:16" x14ac:dyDescent="0.25">
      <c r="I483" s="4"/>
      <c r="N483" s="5"/>
      <c r="O483" s="4"/>
      <c r="P483" s="4"/>
    </row>
    <row r="484" spans="9:16" x14ac:dyDescent="0.25">
      <c r="I484" s="4"/>
      <c r="N484" s="5"/>
      <c r="O484" s="4"/>
      <c r="P484" s="4"/>
    </row>
    <row r="485" spans="9:16" x14ac:dyDescent="0.25">
      <c r="I485" s="4"/>
      <c r="N485" s="5"/>
      <c r="O485" s="4"/>
      <c r="P485" s="4"/>
    </row>
    <row r="486" spans="9:16" x14ac:dyDescent="0.25">
      <c r="I486" s="4"/>
      <c r="N486" s="5"/>
      <c r="O486" s="4"/>
      <c r="P486" s="4"/>
    </row>
    <row r="487" spans="9:16" x14ac:dyDescent="0.25">
      <c r="I487" s="4"/>
      <c r="N487" s="5"/>
      <c r="O487" s="4"/>
      <c r="P487" s="4"/>
    </row>
    <row r="488" spans="9:16" x14ac:dyDescent="0.25">
      <c r="I488" s="4"/>
      <c r="N488" s="5"/>
      <c r="O488" s="4"/>
      <c r="P488" s="4"/>
    </row>
    <row r="489" spans="9:16" x14ac:dyDescent="0.25">
      <c r="I489" s="4"/>
      <c r="N489" s="5"/>
      <c r="O489" s="4"/>
      <c r="P489" s="4"/>
    </row>
    <row r="490" spans="9:16" x14ac:dyDescent="0.25">
      <c r="I490" s="4"/>
      <c r="N490" s="5"/>
      <c r="O490" s="4"/>
      <c r="P490" s="4"/>
    </row>
    <row r="491" spans="9:16" x14ac:dyDescent="0.25">
      <c r="I491" s="4"/>
      <c r="N491" s="5"/>
      <c r="O491" s="4"/>
      <c r="P491" s="4"/>
    </row>
    <row r="492" spans="9:16" x14ac:dyDescent="0.25">
      <c r="I492" s="4"/>
      <c r="N492" s="5"/>
      <c r="O492" s="4"/>
      <c r="P492" s="4"/>
    </row>
    <row r="493" spans="9:16" x14ac:dyDescent="0.25">
      <c r="I493" s="4"/>
      <c r="N493" s="5"/>
      <c r="O493" s="4"/>
      <c r="P493" s="4"/>
    </row>
    <row r="494" spans="9:16" x14ac:dyDescent="0.25">
      <c r="I494" s="4"/>
      <c r="N494" s="5"/>
      <c r="O494" s="4"/>
      <c r="P494" s="4"/>
    </row>
    <row r="495" spans="9:16" x14ac:dyDescent="0.25">
      <c r="I495" s="4"/>
      <c r="N495" s="5"/>
      <c r="O495" s="4"/>
      <c r="P495" s="4"/>
    </row>
    <row r="496" spans="9:16" x14ac:dyDescent="0.25">
      <c r="I496" s="4"/>
      <c r="N496" s="5"/>
      <c r="O496" s="4"/>
      <c r="P496" s="4"/>
    </row>
    <row r="497" spans="9:16" x14ac:dyDescent="0.25">
      <c r="I497" s="4"/>
      <c r="N497" s="5"/>
      <c r="O497" s="4"/>
      <c r="P497" s="4"/>
    </row>
    <row r="498" spans="9:16" x14ac:dyDescent="0.25">
      <c r="I498" s="4"/>
      <c r="N498" s="5"/>
      <c r="O498" s="4"/>
      <c r="P498" s="4"/>
    </row>
    <row r="499" spans="9:16" x14ac:dyDescent="0.25">
      <c r="I499" s="4"/>
      <c r="N499" s="5"/>
      <c r="O499" s="4"/>
      <c r="P499" s="4"/>
    </row>
    <row r="500" spans="9:16" x14ac:dyDescent="0.25">
      <c r="I500" s="4"/>
      <c r="N500" s="5"/>
      <c r="O500" s="4"/>
      <c r="P500" s="4"/>
    </row>
    <row r="501" spans="9:16" x14ac:dyDescent="0.25">
      <c r="I501" s="4"/>
      <c r="N501" s="5"/>
      <c r="O501" s="4"/>
      <c r="P501" s="4"/>
    </row>
    <row r="502" spans="9:16" x14ac:dyDescent="0.25">
      <c r="I502" s="4"/>
      <c r="N502" s="5"/>
      <c r="O502" s="4"/>
      <c r="P502" s="4"/>
    </row>
    <row r="503" spans="9:16" x14ac:dyDescent="0.25">
      <c r="I503" s="4"/>
      <c r="N503" s="5"/>
      <c r="O503" s="4"/>
      <c r="P503" s="4"/>
    </row>
    <row r="504" spans="9:16" x14ac:dyDescent="0.25">
      <c r="I504" s="4"/>
      <c r="N504" s="5"/>
      <c r="O504" s="4"/>
      <c r="P504" s="4"/>
    </row>
    <row r="505" spans="9:16" x14ac:dyDescent="0.25">
      <c r="I505" s="4"/>
      <c r="N505" s="5"/>
      <c r="O505" s="4"/>
      <c r="P505" s="4"/>
    </row>
    <row r="506" spans="9:16" x14ac:dyDescent="0.25">
      <c r="I506" s="4"/>
      <c r="N506" s="5"/>
      <c r="O506" s="4"/>
      <c r="P506" s="4"/>
    </row>
    <row r="507" spans="9:16" x14ac:dyDescent="0.25">
      <c r="I507" s="4"/>
      <c r="N507" s="5"/>
      <c r="O507" s="4"/>
      <c r="P507" s="4"/>
    </row>
    <row r="508" spans="9:16" x14ac:dyDescent="0.25">
      <c r="I508" s="4"/>
      <c r="N508" s="5"/>
      <c r="O508" s="4"/>
      <c r="P508" s="4"/>
    </row>
    <row r="509" spans="9:16" x14ac:dyDescent="0.25">
      <c r="I509" s="4"/>
      <c r="N509" s="5"/>
      <c r="O509" s="4"/>
      <c r="P509" s="4"/>
    </row>
    <row r="510" spans="9:16" x14ac:dyDescent="0.25">
      <c r="I510" s="4"/>
      <c r="N510" s="5"/>
      <c r="O510" s="4"/>
      <c r="P510" s="4"/>
    </row>
    <row r="511" spans="9:16" x14ac:dyDescent="0.25">
      <c r="I511" s="4"/>
      <c r="N511" s="5"/>
      <c r="O511" s="4"/>
      <c r="P511" s="4"/>
    </row>
    <row r="512" spans="9:16" x14ac:dyDescent="0.25">
      <c r="I512" s="4"/>
      <c r="N512" s="5"/>
      <c r="O512" s="4"/>
      <c r="P512" s="4"/>
    </row>
    <row r="513" spans="9:16" x14ac:dyDescent="0.25">
      <c r="I513" s="4"/>
      <c r="N513" s="5"/>
      <c r="O513" s="4"/>
      <c r="P513" s="4"/>
    </row>
    <row r="514" spans="9:16" x14ac:dyDescent="0.25">
      <c r="I514" s="4"/>
      <c r="N514" s="5"/>
      <c r="O514" s="4"/>
      <c r="P514" s="4"/>
    </row>
    <row r="515" spans="9:16" x14ac:dyDescent="0.25">
      <c r="I515" s="4"/>
      <c r="N515" s="5"/>
      <c r="O515" s="4"/>
      <c r="P515" s="4"/>
    </row>
    <row r="516" spans="9:16" x14ac:dyDescent="0.25">
      <c r="I516" s="4"/>
      <c r="N516" s="5"/>
      <c r="O516" s="4"/>
      <c r="P516" s="4"/>
    </row>
    <row r="517" spans="9:16" x14ac:dyDescent="0.25">
      <c r="I517" s="4"/>
      <c r="N517" s="5"/>
      <c r="O517" s="4"/>
      <c r="P517" s="4"/>
    </row>
    <row r="518" spans="9:16" x14ac:dyDescent="0.25">
      <c r="I518" s="4"/>
      <c r="N518" s="5"/>
      <c r="O518" s="4"/>
      <c r="P518" s="4"/>
    </row>
    <row r="519" spans="9:16" x14ac:dyDescent="0.25">
      <c r="I519" s="4"/>
      <c r="N519" s="5"/>
      <c r="O519" s="4"/>
      <c r="P519" s="4"/>
    </row>
    <row r="520" spans="9:16" x14ac:dyDescent="0.25">
      <c r="I520" s="4"/>
      <c r="N520" s="5"/>
      <c r="O520" s="4"/>
      <c r="P520" s="4"/>
    </row>
    <row r="521" spans="9:16" x14ac:dyDescent="0.25">
      <c r="I521" s="4"/>
      <c r="N521" s="5"/>
      <c r="O521" s="4"/>
      <c r="P521" s="4"/>
    </row>
    <row r="522" spans="9:16" x14ac:dyDescent="0.25">
      <c r="I522" s="4"/>
      <c r="N522" s="5"/>
      <c r="O522" s="4"/>
      <c r="P522" s="4"/>
    </row>
    <row r="523" spans="9:16" x14ac:dyDescent="0.25">
      <c r="I523" s="4"/>
      <c r="N523" s="5"/>
      <c r="O523" s="4"/>
      <c r="P523" s="4"/>
    </row>
    <row r="524" spans="9:16" x14ac:dyDescent="0.25">
      <c r="I524" s="4"/>
      <c r="N524" s="5"/>
      <c r="O524" s="4"/>
      <c r="P524" s="4"/>
    </row>
    <row r="525" spans="9:16" x14ac:dyDescent="0.25">
      <c r="I525" s="4"/>
      <c r="N525" s="5"/>
      <c r="O525" s="4"/>
      <c r="P525" s="4"/>
    </row>
    <row r="526" spans="9:16" x14ac:dyDescent="0.25">
      <c r="I526" s="4"/>
      <c r="N526" s="5"/>
      <c r="O526" s="4"/>
      <c r="P526" s="4"/>
    </row>
    <row r="527" spans="9:16" x14ac:dyDescent="0.25">
      <c r="I527" s="4"/>
      <c r="N527" s="5"/>
      <c r="O527" s="4"/>
      <c r="P527" s="4"/>
    </row>
    <row r="528" spans="9:16" x14ac:dyDescent="0.25">
      <c r="I528" s="4"/>
      <c r="N528" s="5"/>
      <c r="O528" s="4"/>
      <c r="P528" s="4"/>
    </row>
    <row r="529" spans="9:16" x14ac:dyDescent="0.25">
      <c r="I529" s="4"/>
      <c r="N529" s="5"/>
      <c r="O529" s="4"/>
      <c r="P529" s="4"/>
    </row>
    <row r="530" spans="9:16" x14ac:dyDescent="0.25">
      <c r="I530" s="4"/>
      <c r="N530" s="5"/>
      <c r="O530" s="4"/>
      <c r="P530" s="4"/>
    </row>
    <row r="531" spans="9:16" x14ac:dyDescent="0.25">
      <c r="I531" s="4"/>
      <c r="N531" s="5"/>
      <c r="O531" s="4"/>
      <c r="P531" s="4"/>
    </row>
    <row r="532" spans="9:16" x14ac:dyDescent="0.25">
      <c r="I532" s="4"/>
      <c r="N532" s="5"/>
      <c r="O532" s="4"/>
      <c r="P532" s="4"/>
    </row>
    <row r="533" spans="9:16" x14ac:dyDescent="0.25">
      <c r="I533" s="4"/>
      <c r="N533" s="5"/>
      <c r="O533" s="4"/>
      <c r="P533" s="4"/>
    </row>
    <row r="534" spans="9:16" x14ac:dyDescent="0.25">
      <c r="I534" s="4"/>
      <c r="N534" s="5"/>
      <c r="O534" s="4"/>
      <c r="P534" s="4"/>
    </row>
    <row r="535" spans="9:16" x14ac:dyDescent="0.25">
      <c r="I535" s="4"/>
      <c r="N535" s="5"/>
      <c r="O535" s="4"/>
      <c r="P535" s="4"/>
    </row>
    <row r="536" spans="9:16" x14ac:dyDescent="0.25">
      <c r="I536" s="4"/>
      <c r="N536" s="5"/>
      <c r="O536" s="4"/>
      <c r="P536" s="4"/>
    </row>
    <row r="537" spans="9:16" x14ac:dyDescent="0.25">
      <c r="I537" s="4"/>
      <c r="N537" s="5"/>
      <c r="O537" s="4"/>
      <c r="P537" s="4"/>
    </row>
    <row r="538" spans="9:16" x14ac:dyDescent="0.25">
      <c r="I538" s="4"/>
      <c r="N538" s="5"/>
      <c r="O538" s="4"/>
      <c r="P538" s="4"/>
    </row>
    <row r="539" spans="9:16" x14ac:dyDescent="0.25">
      <c r="I539" s="4"/>
      <c r="N539" s="5"/>
      <c r="O539" s="4"/>
      <c r="P539" s="4"/>
    </row>
    <row r="540" spans="9:16" x14ac:dyDescent="0.25">
      <c r="I540" s="4"/>
      <c r="N540" s="5"/>
      <c r="O540" s="4"/>
      <c r="P540" s="4"/>
    </row>
    <row r="541" spans="9:16" x14ac:dyDescent="0.25">
      <c r="I541" s="4"/>
      <c r="N541" s="5"/>
      <c r="O541" s="4"/>
      <c r="P541" s="4"/>
    </row>
    <row r="542" spans="9:16" x14ac:dyDescent="0.25">
      <c r="I542" s="4"/>
      <c r="N542" s="5"/>
      <c r="O542" s="4"/>
      <c r="P542" s="4"/>
    </row>
    <row r="543" spans="9:16" x14ac:dyDescent="0.25">
      <c r="I543" s="4"/>
      <c r="N543" s="5"/>
      <c r="O543" s="4"/>
      <c r="P543" s="4"/>
    </row>
    <row r="544" spans="9:16" x14ac:dyDescent="0.25">
      <c r="I544" s="4"/>
      <c r="N544" s="5"/>
      <c r="O544" s="4"/>
      <c r="P544" s="4"/>
    </row>
    <row r="545" spans="9:16" x14ac:dyDescent="0.25">
      <c r="I545" s="4"/>
      <c r="N545" s="5"/>
      <c r="O545" s="4"/>
      <c r="P545" s="4"/>
    </row>
    <row r="546" spans="9:16" x14ac:dyDescent="0.25">
      <c r="I546" s="4"/>
      <c r="N546" s="5"/>
      <c r="O546" s="4"/>
      <c r="P546" s="4"/>
    </row>
    <row r="547" spans="9:16" x14ac:dyDescent="0.25">
      <c r="I547" s="4"/>
      <c r="N547" s="5"/>
      <c r="O547" s="4"/>
      <c r="P547" s="4"/>
    </row>
    <row r="548" spans="9:16" x14ac:dyDescent="0.25">
      <c r="I548" s="4"/>
      <c r="N548" s="5"/>
      <c r="O548" s="4"/>
      <c r="P548" s="4"/>
    </row>
    <row r="549" spans="9:16" x14ac:dyDescent="0.25">
      <c r="I549" s="4"/>
      <c r="N549" s="5"/>
      <c r="O549" s="4"/>
      <c r="P549" s="4"/>
    </row>
    <row r="550" spans="9:16" x14ac:dyDescent="0.25">
      <c r="I550" s="4"/>
      <c r="N550" s="5"/>
      <c r="O550" s="4"/>
      <c r="P550" s="4"/>
    </row>
    <row r="551" spans="9:16" x14ac:dyDescent="0.25">
      <c r="I551" s="4"/>
      <c r="N551" s="5"/>
      <c r="O551" s="4"/>
      <c r="P551" s="4"/>
    </row>
    <row r="552" spans="9:16" x14ac:dyDescent="0.25">
      <c r="I552" s="4"/>
      <c r="N552" s="5"/>
      <c r="O552" s="4"/>
      <c r="P552" s="4"/>
    </row>
    <row r="553" spans="9:16" x14ac:dyDescent="0.25">
      <c r="I553" s="4"/>
      <c r="N553" s="5"/>
      <c r="O553" s="4"/>
      <c r="P553" s="4"/>
    </row>
    <row r="554" spans="9:16" x14ac:dyDescent="0.25">
      <c r="I554" s="4"/>
      <c r="N554" s="5"/>
      <c r="O554" s="4"/>
      <c r="P554" s="4"/>
    </row>
    <row r="555" spans="9:16" x14ac:dyDescent="0.25">
      <c r="I555" s="4"/>
      <c r="N555" s="5"/>
      <c r="O555" s="4"/>
      <c r="P555" s="4"/>
    </row>
    <row r="556" spans="9:16" x14ac:dyDescent="0.25">
      <c r="I556" s="4"/>
      <c r="N556" s="5"/>
      <c r="O556" s="4"/>
      <c r="P556" s="4"/>
    </row>
    <row r="557" spans="9:16" x14ac:dyDescent="0.25">
      <c r="I557" s="4"/>
      <c r="N557" s="5"/>
      <c r="O557" s="4"/>
      <c r="P557" s="4"/>
    </row>
    <row r="558" spans="9:16" x14ac:dyDescent="0.25">
      <c r="I558" s="4"/>
      <c r="N558" s="5"/>
      <c r="O558" s="4"/>
      <c r="P558" s="4"/>
    </row>
    <row r="559" spans="9:16" x14ac:dyDescent="0.25">
      <c r="I559" s="4"/>
      <c r="N559" s="5"/>
      <c r="O559" s="4"/>
      <c r="P559" s="4"/>
    </row>
    <row r="560" spans="9:16" x14ac:dyDescent="0.25">
      <c r="I560" s="4"/>
      <c r="N560" s="5"/>
      <c r="O560" s="4"/>
      <c r="P560" s="4"/>
    </row>
    <row r="561" spans="9:16" x14ac:dyDescent="0.25">
      <c r="I561" s="4"/>
      <c r="N561" s="5"/>
      <c r="O561" s="4"/>
      <c r="P561" s="4"/>
    </row>
    <row r="562" spans="9:16" x14ac:dyDescent="0.25">
      <c r="I562" s="4"/>
      <c r="N562" s="5"/>
      <c r="O562" s="4"/>
      <c r="P562" s="4"/>
    </row>
    <row r="563" spans="9:16" x14ac:dyDescent="0.25">
      <c r="I563" s="4"/>
      <c r="N563" s="5"/>
      <c r="O563" s="4"/>
      <c r="P563" s="4"/>
    </row>
    <row r="564" spans="9:16" x14ac:dyDescent="0.25">
      <c r="I564" s="4"/>
      <c r="N564" s="5"/>
      <c r="O564" s="4"/>
      <c r="P564" s="4"/>
    </row>
    <row r="565" spans="9:16" x14ac:dyDescent="0.25">
      <c r="I565" s="4"/>
      <c r="N565" s="5"/>
      <c r="O565" s="4"/>
      <c r="P565" s="4"/>
    </row>
    <row r="566" spans="9:16" x14ac:dyDescent="0.25">
      <c r="I566" s="4"/>
      <c r="N566" s="5"/>
      <c r="O566" s="4"/>
      <c r="P566" s="4"/>
    </row>
    <row r="567" spans="9:16" x14ac:dyDescent="0.25">
      <c r="I567" s="4"/>
      <c r="N567" s="5"/>
      <c r="O567" s="4"/>
      <c r="P567" s="4"/>
    </row>
    <row r="568" spans="9:16" x14ac:dyDescent="0.25">
      <c r="I568" s="4"/>
      <c r="N568" s="5"/>
      <c r="O568" s="4"/>
      <c r="P568" s="4"/>
    </row>
    <row r="569" spans="9:16" x14ac:dyDescent="0.25">
      <c r="I569" s="4"/>
      <c r="N569" s="5"/>
      <c r="O569" s="4"/>
      <c r="P569" s="4"/>
    </row>
    <row r="570" spans="9:16" x14ac:dyDescent="0.25">
      <c r="I570" s="4"/>
      <c r="N570" s="5"/>
      <c r="O570" s="4"/>
      <c r="P570" s="4"/>
    </row>
    <row r="571" spans="9:16" x14ac:dyDescent="0.25">
      <c r="I571" s="4"/>
      <c r="N571" s="5"/>
      <c r="O571" s="4"/>
      <c r="P571" s="4"/>
    </row>
    <row r="572" spans="9:16" x14ac:dyDescent="0.25">
      <c r="I572" s="4"/>
      <c r="N572" s="5"/>
      <c r="O572" s="4"/>
      <c r="P572" s="4"/>
    </row>
    <row r="573" spans="9:16" x14ac:dyDescent="0.25">
      <c r="I573" s="4"/>
      <c r="N573" s="5"/>
      <c r="O573" s="4"/>
      <c r="P573" s="4"/>
    </row>
    <row r="574" spans="9:16" x14ac:dyDescent="0.25">
      <c r="I574" s="4"/>
      <c r="N574" s="5"/>
      <c r="O574" s="4"/>
      <c r="P574" s="4"/>
    </row>
    <row r="575" spans="9:16" x14ac:dyDescent="0.25">
      <c r="I575" s="4"/>
      <c r="N575" s="5"/>
      <c r="O575" s="4"/>
      <c r="P575" s="4"/>
    </row>
    <row r="576" spans="9:16" x14ac:dyDescent="0.25">
      <c r="I576" s="4"/>
      <c r="N576" s="5"/>
      <c r="O576" s="4"/>
      <c r="P576" s="4"/>
    </row>
    <row r="577" spans="9:16" x14ac:dyDescent="0.25">
      <c r="I577" s="4"/>
      <c r="N577" s="5"/>
      <c r="O577" s="4"/>
      <c r="P577" s="4"/>
    </row>
    <row r="578" spans="9:16" x14ac:dyDescent="0.25">
      <c r="I578" s="4"/>
      <c r="N578" s="5"/>
      <c r="O578" s="4"/>
      <c r="P578" s="4"/>
    </row>
    <row r="579" spans="9:16" x14ac:dyDescent="0.25">
      <c r="I579" s="4"/>
      <c r="N579" s="5"/>
      <c r="O579" s="4"/>
      <c r="P579" s="4"/>
    </row>
    <row r="580" spans="9:16" x14ac:dyDescent="0.25">
      <c r="I580" s="4"/>
      <c r="N580" s="5"/>
      <c r="O580" s="4"/>
      <c r="P580" s="4"/>
    </row>
    <row r="581" spans="9:16" x14ac:dyDescent="0.25">
      <c r="I581" s="4"/>
      <c r="N581" s="5"/>
      <c r="O581" s="4"/>
      <c r="P581" s="4"/>
    </row>
    <row r="582" spans="9:16" x14ac:dyDescent="0.25">
      <c r="I582" s="4"/>
      <c r="N582" s="5"/>
      <c r="O582" s="4"/>
      <c r="P582" s="4"/>
    </row>
    <row r="583" spans="9:16" x14ac:dyDescent="0.25">
      <c r="I583" s="4"/>
      <c r="N583" s="5"/>
      <c r="O583" s="4"/>
      <c r="P583" s="4"/>
    </row>
    <row r="584" spans="9:16" x14ac:dyDescent="0.25">
      <c r="I584" s="4"/>
      <c r="N584" s="5"/>
      <c r="O584" s="4"/>
      <c r="P584" s="4"/>
    </row>
    <row r="585" spans="9:16" x14ac:dyDescent="0.25">
      <c r="I585" s="4"/>
      <c r="N585" s="5"/>
      <c r="O585" s="4"/>
      <c r="P585" s="4"/>
    </row>
    <row r="586" spans="9:16" x14ac:dyDescent="0.25">
      <c r="I586" s="4"/>
      <c r="N586" s="5"/>
      <c r="O586" s="4"/>
      <c r="P586" s="4"/>
    </row>
    <row r="587" spans="9:16" x14ac:dyDescent="0.25">
      <c r="I587" s="4"/>
      <c r="N587" s="5"/>
      <c r="O587" s="4"/>
      <c r="P587" s="4"/>
    </row>
    <row r="588" spans="9:16" x14ac:dyDescent="0.25">
      <c r="I588" s="4"/>
      <c r="N588" s="5"/>
      <c r="O588" s="4"/>
      <c r="P588" s="4"/>
    </row>
    <row r="589" spans="9:16" x14ac:dyDescent="0.25">
      <c r="I589" s="4"/>
      <c r="N589" s="5"/>
      <c r="O589" s="4"/>
      <c r="P589" s="4"/>
    </row>
    <row r="590" spans="9:16" x14ac:dyDescent="0.25">
      <c r="I590" s="4"/>
      <c r="N590" s="5"/>
      <c r="O590" s="4"/>
      <c r="P590" s="4"/>
    </row>
    <row r="591" spans="9:16" x14ac:dyDescent="0.25">
      <c r="I591" s="4"/>
      <c r="N591" s="5"/>
      <c r="O591" s="4"/>
      <c r="P591" s="4"/>
    </row>
    <row r="592" spans="9:16" x14ac:dyDescent="0.25">
      <c r="I592" s="4"/>
      <c r="N592" s="5"/>
      <c r="O592" s="4"/>
      <c r="P592" s="4"/>
    </row>
    <row r="593" spans="9:16" x14ac:dyDescent="0.25">
      <c r="I593" s="4"/>
      <c r="N593" s="5"/>
      <c r="O593" s="4"/>
      <c r="P593" s="4"/>
    </row>
    <row r="594" spans="9:16" x14ac:dyDescent="0.25">
      <c r="I594" s="4"/>
      <c r="N594" s="5"/>
      <c r="O594" s="4"/>
      <c r="P594" s="4"/>
    </row>
    <row r="595" spans="9:16" x14ac:dyDescent="0.25">
      <c r="I595" s="4"/>
      <c r="N595" s="5"/>
      <c r="O595" s="4"/>
      <c r="P595" s="4"/>
    </row>
    <row r="596" spans="9:16" x14ac:dyDescent="0.25">
      <c r="I596" s="4"/>
      <c r="N596" s="5"/>
      <c r="O596" s="4"/>
      <c r="P596" s="4"/>
    </row>
    <row r="597" spans="9:16" x14ac:dyDescent="0.25">
      <c r="I597" s="4"/>
      <c r="N597" s="5"/>
      <c r="O597" s="4"/>
      <c r="P597" s="4"/>
    </row>
    <row r="598" spans="9:16" x14ac:dyDescent="0.25">
      <c r="I598" s="4"/>
      <c r="N598" s="5"/>
      <c r="O598" s="4"/>
      <c r="P598" s="4"/>
    </row>
    <row r="599" spans="9:16" x14ac:dyDescent="0.25">
      <c r="I599" s="4"/>
      <c r="N599" s="5"/>
      <c r="O599" s="4"/>
      <c r="P599" s="4"/>
    </row>
    <row r="600" spans="9:16" x14ac:dyDescent="0.25">
      <c r="I600" s="4"/>
      <c r="N600" s="5"/>
      <c r="O600" s="4"/>
      <c r="P600" s="4"/>
    </row>
    <row r="601" spans="9:16" x14ac:dyDescent="0.25">
      <c r="I601" s="4"/>
      <c r="N601" s="5"/>
      <c r="O601" s="4"/>
      <c r="P601" s="4"/>
    </row>
    <row r="602" spans="9:16" x14ac:dyDescent="0.25">
      <c r="I602" s="4"/>
      <c r="N602" s="5"/>
      <c r="O602" s="4"/>
      <c r="P602" s="4"/>
    </row>
    <row r="603" spans="9:16" x14ac:dyDescent="0.25">
      <c r="I603" s="4"/>
      <c r="N603" s="5"/>
      <c r="O603" s="4"/>
      <c r="P603" s="4"/>
    </row>
    <row r="604" spans="9:16" x14ac:dyDescent="0.25">
      <c r="I604" s="4"/>
      <c r="N604" s="5"/>
      <c r="O604" s="4"/>
      <c r="P604" s="4"/>
    </row>
    <row r="605" spans="9:16" x14ac:dyDescent="0.25">
      <c r="I605" s="4"/>
      <c r="N605" s="5"/>
      <c r="O605" s="4"/>
      <c r="P605" s="4"/>
    </row>
    <row r="606" spans="9:16" x14ac:dyDescent="0.25">
      <c r="I606" s="4"/>
      <c r="N606" s="5"/>
      <c r="O606" s="4"/>
      <c r="P606" s="4"/>
    </row>
    <row r="607" spans="9:16" x14ac:dyDescent="0.25">
      <c r="I607" s="4"/>
      <c r="N607" s="5"/>
      <c r="O607" s="4"/>
      <c r="P607" s="4"/>
    </row>
    <row r="608" spans="9:16" x14ac:dyDescent="0.25">
      <c r="I608" s="4"/>
      <c r="N608" s="5"/>
      <c r="O608" s="4"/>
      <c r="P608" s="4"/>
    </row>
    <row r="609" spans="9:16" x14ac:dyDescent="0.25">
      <c r="I609" s="4"/>
      <c r="N609" s="5"/>
      <c r="O609" s="4"/>
      <c r="P609" s="4"/>
    </row>
    <row r="610" spans="9:16" x14ac:dyDescent="0.25">
      <c r="I610" s="4"/>
      <c r="N610" s="5"/>
      <c r="O610" s="4"/>
      <c r="P610" s="4"/>
    </row>
    <row r="611" spans="9:16" x14ac:dyDescent="0.25">
      <c r="I611" s="4"/>
      <c r="N611" s="5"/>
      <c r="O611" s="4"/>
      <c r="P611" s="4"/>
    </row>
    <row r="612" spans="9:16" x14ac:dyDescent="0.25">
      <c r="I612" s="4"/>
      <c r="N612" s="5"/>
      <c r="O612" s="4"/>
      <c r="P612" s="4"/>
    </row>
    <row r="613" spans="9:16" x14ac:dyDescent="0.25">
      <c r="I613" s="4"/>
      <c r="N613" s="5"/>
      <c r="O613" s="4"/>
      <c r="P613" s="4"/>
    </row>
    <row r="614" spans="9:16" x14ac:dyDescent="0.25">
      <c r="I614" s="4"/>
      <c r="N614" s="5"/>
      <c r="O614" s="4"/>
      <c r="P614" s="4"/>
    </row>
    <row r="615" spans="9:16" x14ac:dyDescent="0.25">
      <c r="I615" s="4"/>
      <c r="N615" s="5"/>
      <c r="O615" s="4"/>
      <c r="P615" s="4"/>
    </row>
    <row r="616" spans="9:16" x14ac:dyDescent="0.25">
      <c r="I616" s="4"/>
      <c r="N616" s="5"/>
      <c r="O616" s="4"/>
      <c r="P616" s="4"/>
    </row>
    <row r="617" spans="9:16" x14ac:dyDescent="0.25">
      <c r="I617" s="4"/>
      <c r="N617" s="5"/>
      <c r="O617" s="4"/>
      <c r="P617" s="4"/>
    </row>
    <row r="618" spans="9:16" x14ac:dyDescent="0.25">
      <c r="I618" s="4"/>
      <c r="N618" s="5"/>
      <c r="O618" s="4"/>
      <c r="P618" s="4"/>
    </row>
    <row r="619" spans="9:16" x14ac:dyDescent="0.25">
      <c r="I619" s="4"/>
      <c r="N619" s="5"/>
      <c r="O619" s="4"/>
      <c r="P619" s="4"/>
    </row>
    <row r="620" spans="9:16" x14ac:dyDescent="0.25">
      <c r="I620" s="4"/>
      <c r="N620" s="5"/>
      <c r="O620" s="4"/>
      <c r="P620" s="4"/>
    </row>
    <row r="621" spans="9:16" x14ac:dyDescent="0.25">
      <c r="I621" s="4"/>
      <c r="N621" s="5"/>
      <c r="O621" s="4"/>
      <c r="P621" s="4"/>
    </row>
    <row r="622" spans="9:16" x14ac:dyDescent="0.25">
      <c r="I622" s="4"/>
      <c r="N622" s="5"/>
      <c r="O622" s="4"/>
      <c r="P622" s="4"/>
    </row>
    <row r="623" spans="9:16" x14ac:dyDescent="0.25">
      <c r="I623" s="4"/>
      <c r="N623" s="5"/>
      <c r="O623" s="4"/>
      <c r="P623" s="4"/>
    </row>
    <row r="624" spans="9:16" x14ac:dyDescent="0.25">
      <c r="I624" s="4"/>
      <c r="N624" s="5"/>
      <c r="O624" s="4"/>
      <c r="P624" s="4"/>
    </row>
    <row r="625" spans="9:16" x14ac:dyDescent="0.25">
      <c r="I625" s="4"/>
      <c r="N625" s="5"/>
      <c r="O625" s="4"/>
      <c r="P625" s="4"/>
    </row>
    <row r="626" spans="9:16" x14ac:dyDescent="0.25">
      <c r="I626" s="4"/>
      <c r="N626" s="5"/>
      <c r="O626" s="4"/>
      <c r="P626" s="4"/>
    </row>
    <row r="627" spans="9:16" x14ac:dyDescent="0.25">
      <c r="I627" s="4"/>
      <c r="N627" s="5"/>
      <c r="O627" s="4"/>
      <c r="P627" s="4"/>
    </row>
    <row r="628" spans="9:16" x14ac:dyDescent="0.25">
      <c r="I628" s="4"/>
      <c r="N628" s="5"/>
      <c r="O628" s="4"/>
      <c r="P628" s="4"/>
    </row>
    <row r="629" spans="9:16" x14ac:dyDescent="0.25">
      <c r="I629" s="4"/>
      <c r="N629" s="5"/>
      <c r="O629" s="4"/>
      <c r="P629" s="4"/>
    </row>
    <row r="630" spans="9:16" x14ac:dyDescent="0.25">
      <c r="I630" s="4"/>
      <c r="N630" s="5"/>
      <c r="O630" s="4"/>
      <c r="P630" s="4"/>
    </row>
    <row r="631" spans="9:16" x14ac:dyDescent="0.25">
      <c r="I631" s="4"/>
      <c r="N631" s="5"/>
      <c r="O631" s="4"/>
      <c r="P631" s="4"/>
    </row>
    <row r="632" spans="9:16" x14ac:dyDescent="0.25">
      <c r="I632" s="4"/>
      <c r="N632" s="5"/>
      <c r="O632" s="4"/>
      <c r="P632" s="4"/>
    </row>
    <row r="633" spans="9:16" x14ac:dyDescent="0.25">
      <c r="I633" s="4"/>
      <c r="N633" s="5"/>
      <c r="O633" s="4"/>
      <c r="P633" s="4"/>
    </row>
    <row r="634" spans="9:16" x14ac:dyDescent="0.25">
      <c r="I634" s="4"/>
      <c r="N634" s="5"/>
      <c r="O634" s="4"/>
      <c r="P634" s="4"/>
    </row>
    <row r="635" spans="9:16" x14ac:dyDescent="0.25">
      <c r="I635" s="4"/>
      <c r="N635" s="5"/>
      <c r="O635" s="4"/>
      <c r="P635" s="4"/>
    </row>
    <row r="636" spans="9:16" x14ac:dyDescent="0.25">
      <c r="I636" s="4"/>
      <c r="N636" s="5"/>
      <c r="O636" s="4"/>
      <c r="P636" s="4"/>
    </row>
    <row r="637" spans="9:16" x14ac:dyDescent="0.25">
      <c r="I637" s="4"/>
      <c r="N637" s="5"/>
      <c r="O637" s="4"/>
      <c r="P637" s="4"/>
    </row>
    <row r="638" spans="9:16" x14ac:dyDescent="0.25">
      <c r="I638" s="4"/>
      <c r="N638" s="5"/>
      <c r="O638" s="4"/>
      <c r="P638" s="4"/>
    </row>
    <row r="639" spans="9:16" x14ac:dyDescent="0.25">
      <c r="I639" s="4"/>
      <c r="N639" s="5"/>
      <c r="O639" s="4"/>
      <c r="P639" s="4"/>
    </row>
    <row r="640" spans="9:16" x14ac:dyDescent="0.25">
      <c r="I640" s="4"/>
      <c r="N640" s="5"/>
      <c r="O640" s="4"/>
      <c r="P640" s="4"/>
    </row>
    <row r="641" spans="9:16" x14ac:dyDescent="0.25">
      <c r="I641" s="4"/>
      <c r="N641" s="5"/>
      <c r="O641" s="4"/>
      <c r="P641" s="4"/>
    </row>
    <row r="642" spans="9:16" x14ac:dyDescent="0.25">
      <c r="I642" s="4"/>
      <c r="N642" s="5"/>
      <c r="O642" s="4"/>
      <c r="P642" s="4"/>
    </row>
    <row r="643" spans="9:16" x14ac:dyDescent="0.25">
      <c r="I643" s="4"/>
      <c r="N643" s="5"/>
      <c r="O643" s="4"/>
      <c r="P643" s="4"/>
    </row>
    <row r="644" spans="9:16" x14ac:dyDescent="0.25">
      <c r="I644" s="4"/>
      <c r="N644" s="5"/>
      <c r="O644" s="4"/>
      <c r="P644" s="4"/>
    </row>
    <row r="645" spans="9:16" x14ac:dyDescent="0.25">
      <c r="I645" s="4"/>
      <c r="N645" s="5"/>
      <c r="O645" s="4"/>
      <c r="P645" s="4"/>
    </row>
    <row r="646" spans="9:16" x14ac:dyDescent="0.25">
      <c r="I646" s="4"/>
      <c r="N646" s="5"/>
      <c r="O646" s="4"/>
      <c r="P646" s="4"/>
    </row>
    <row r="647" spans="9:16" x14ac:dyDescent="0.25">
      <c r="I647" s="4"/>
      <c r="N647" s="5"/>
      <c r="O647" s="4"/>
      <c r="P647" s="4"/>
    </row>
    <row r="648" spans="9:16" x14ac:dyDescent="0.25">
      <c r="I648" s="4"/>
      <c r="N648" s="5"/>
      <c r="O648" s="4"/>
      <c r="P648" s="4"/>
    </row>
    <row r="649" spans="9:16" x14ac:dyDescent="0.25">
      <c r="I649" s="4"/>
      <c r="N649" s="5"/>
      <c r="O649" s="4"/>
      <c r="P649" s="4"/>
    </row>
    <row r="650" spans="9:16" x14ac:dyDescent="0.25">
      <c r="I650" s="4"/>
      <c r="N650" s="5"/>
      <c r="O650" s="4"/>
      <c r="P650" s="4"/>
    </row>
    <row r="651" spans="9:16" x14ac:dyDescent="0.25">
      <c r="I651" s="4"/>
      <c r="N651" s="5"/>
      <c r="O651" s="4"/>
      <c r="P651" s="4"/>
    </row>
    <row r="652" spans="9:16" x14ac:dyDescent="0.25">
      <c r="I652" s="4"/>
      <c r="N652" s="5"/>
      <c r="O652" s="4"/>
      <c r="P652" s="4"/>
    </row>
    <row r="653" spans="9:16" x14ac:dyDescent="0.25">
      <c r="I653" s="4"/>
      <c r="N653" s="5"/>
      <c r="O653" s="4"/>
      <c r="P653" s="4"/>
    </row>
    <row r="654" spans="9:16" x14ac:dyDescent="0.25">
      <c r="I654" s="4"/>
      <c r="N654" s="5"/>
      <c r="O654" s="4"/>
      <c r="P654" s="4"/>
    </row>
    <row r="655" spans="9:16" x14ac:dyDescent="0.25">
      <c r="I655" s="4"/>
      <c r="N655" s="5"/>
      <c r="O655" s="4"/>
      <c r="P655" s="4"/>
    </row>
    <row r="656" spans="9:16" x14ac:dyDescent="0.25">
      <c r="I656" s="4"/>
      <c r="N656" s="5"/>
      <c r="O656" s="4"/>
      <c r="P656" s="4"/>
    </row>
    <row r="657" spans="9:16" x14ac:dyDescent="0.25">
      <c r="I657" s="4"/>
      <c r="N657" s="5"/>
      <c r="O657" s="4"/>
      <c r="P657" s="4"/>
    </row>
    <row r="658" spans="9:16" x14ac:dyDescent="0.25">
      <c r="I658" s="4"/>
      <c r="N658" s="5"/>
      <c r="O658" s="4"/>
      <c r="P658" s="4"/>
    </row>
    <row r="659" spans="9:16" x14ac:dyDescent="0.25">
      <c r="I659" s="4"/>
      <c r="N659" s="5"/>
      <c r="O659" s="4"/>
      <c r="P659" s="4"/>
    </row>
    <row r="660" spans="9:16" x14ac:dyDescent="0.25">
      <c r="I660" s="4"/>
      <c r="N660" s="5"/>
      <c r="O660" s="4"/>
      <c r="P660" s="4"/>
    </row>
    <row r="661" spans="9:16" x14ac:dyDescent="0.25">
      <c r="I661" s="4"/>
      <c r="N661" s="5"/>
      <c r="O661" s="4"/>
      <c r="P661" s="4"/>
    </row>
    <row r="662" spans="9:16" x14ac:dyDescent="0.25">
      <c r="I662" s="4"/>
      <c r="N662" s="5"/>
      <c r="O662" s="4"/>
      <c r="P662" s="4"/>
    </row>
    <row r="663" spans="9:16" x14ac:dyDescent="0.25">
      <c r="I663" s="4"/>
      <c r="N663" s="5"/>
      <c r="O663" s="4"/>
      <c r="P663" s="4"/>
    </row>
    <row r="664" spans="9:16" x14ac:dyDescent="0.25">
      <c r="I664" s="4"/>
      <c r="N664" s="5"/>
      <c r="O664" s="4"/>
      <c r="P664" s="4"/>
    </row>
    <row r="665" spans="9:16" x14ac:dyDescent="0.25">
      <c r="I665" s="4"/>
      <c r="N665" s="5"/>
      <c r="O665" s="4"/>
      <c r="P665" s="4"/>
    </row>
    <row r="666" spans="9:16" x14ac:dyDescent="0.25">
      <c r="I666" s="4"/>
      <c r="N666" s="5"/>
      <c r="O666" s="4"/>
      <c r="P666" s="4"/>
    </row>
    <row r="667" spans="9:16" x14ac:dyDescent="0.25">
      <c r="I667" s="4"/>
      <c r="N667" s="5"/>
      <c r="O667" s="4"/>
      <c r="P667" s="4"/>
    </row>
    <row r="668" spans="9:16" x14ac:dyDescent="0.25">
      <c r="I668" s="4"/>
      <c r="N668" s="5"/>
      <c r="O668" s="4"/>
      <c r="P668" s="4"/>
    </row>
    <row r="669" spans="9:16" x14ac:dyDescent="0.25">
      <c r="I669" s="4"/>
      <c r="N669" s="5"/>
      <c r="O669" s="4"/>
      <c r="P669" s="4"/>
    </row>
    <row r="670" spans="9:16" x14ac:dyDescent="0.25">
      <c r="I670" s="4"/>
      <c r="N670" s="5"/>
      <c r="O670" s="4"/>
      <c r="P670" s="4"/>
    </row>
    <row r="671" spans="9:16" x14ac:dyDescent="0.25">
      <c r="I671" s="4"/>
      <c r="N671" s="5"/>
      <c r="O671" s="4"/>
      <c r="P671" s="4"/>
    </row>
    <row r="672" spans="9:16" x14ac:dyDescent="0.25">
      <c r="I672" s="4"/>
      <c r="N672" s="5"/>
      <c r="O672" s="4"/>
      <c r="P672" s="4"/>
    </row>
    <row r="673" spans="9:16" x14ac:dyDescent="0.25">
      <c r="I673" s="4"/>
      <c r="N673" s="5"/>
      <c r="O673" s="4"/>
      <c r="P673" s="4"/>
    </row>
    <row r="674" spans="9:16" x14ac:dyDescent="0.25">
      <c r="I674" s="4"/>
      <c r="N674" s="5"/>
      <c r="O674" s="4"/>
      <c r="P674" s="4"/>
    </row>
    <row r="675" spans="9:16" x14ac:dyDescent="0.25">
      <c r="I675" s="4"/>
      <c r="N675" s="5"/>
      <c r="O675" s="4"/>
      <c r="P675" s="4"/>
    </row>
    <row r="676" spans="9:16" x14ac:dyDescent="0.25">
      <c r="I676" s="4"/>
      <c r="N676" s="5"/>
      <c r="O676" s="4"/>
      <c r="P676" s="4"/>
    </row>
    <row r="677" spans="9:16" x14ac:dyDescent="0.25">
      <c r="I677" s="4"/>
      <c r="N677" s="5"/>
      <c r="O677" s="4"/>
      <c r="P677" s="4"/>
    </row>
    <row r="678" spans="9:16" x14ac:dyDescent="0.25">
      <c r="I678" s="4"/>
      <c r="N678" s="5"/>
      <c r="O678" s="4"/>
      <c r="P678" s="4"/>
    </row>
    <row r="679" spans="9:16" x14ac:dyDescent="0.25">
      <c r="I679" s="4"/>
      <c r="N679" s="5"/>
      <c r="O679" s="4"/>
      <c r="P679" s="4"/>
    </row>
    <row r="680" spans="9:16" x14ac:dyDescent="0.25">
      <c r="I680" s="4"/>
      <c r="N680" s="5"/>
      <c r="O680" s="4"/>
      <c r="P680" s="4"/>
    </row>
    <row r="681" spans="9:16" x14ac:dyDescent="0.25">
      <c r="I681" s="4"/>
      <c r="N681" s="5"/>
      <c r="O681" s="4"/>
      <c r="P681" s="4"/>
    </row>
    <row r="682" spans="9:16" x14ac:dyDescent="0.25">
      <c r="I682" s="4"/>
      <c r="N682" s="5"/>
      <c r="O682" s="4"/>
      <c r="P682" s="4"/>
    </row>
    <row r="683" spans="9:16" x14ac:dyDescent="0.25">
      <c r="I683" s="4"/>
      <c r="N683" s="5"/>
      <c r="O683" s="4"/>
      <c r="P683" s="4"/>
    </row>
    <row r="684" spans="9:16" x14ac:dyDescent="0.25">
      <c r="I684" s="4"/>
      <c r="N684" s="5"/>
      <c r="O684" s="4"/>
      <c r="P684" s="4"/>
    </row>
    <row r="685" spans="9:16" x14ac:dyDescent="0.25">
      <c r="I685" s="4"/>
      <c r="N685" s="5"/>
      <c r="O685" s="4"/>
      <c r="P685" s="4"/>
    </row>
    <row r="686" spans="9:16" x14ac:dyDescent="0.25">
      <c r="I686" s="4"/>
      <c r="N686" s="5"/>
      <c r="O686" s="4"/>
      <c r="P686" s="4"/>
    </row>
    <row r="687" spans="9:16" x14ac:dyDescent="0.25">
      <c r="I687" s="4"/>
      <c r="N687" s="5"/>
      <c r="O687" s="4"/>
      <c r="P687" s="4"/>
    </row>
    <row r="688" spans="9:16" x14ac:dyDescent="0.25">
      <c r="I688" s="4"/>
      <c r="N688" s="5"/>
      <c r="O688" s="4"/>
      <c r="P688" s="4"/>
    </row>
    <row r="689" spans="9:16" x14ac:dyDescent="0.25">
      <c r="I689" s="4"/>
      <c r="N689" s="5"/>
      <c r="O689" s="4"/>
      <c r="P689" s="4"/>
    </row>
    <row r="690" spans="9:16" x14ac:dyDescent="0.25">
      <c r="I690" s="4"/>
      <c r="N690" s="5"/>
      <c r="O690" s="4"/>
      <c r="P690" s="4"/>
    </row>
    <row r="691" spans="9:16" x14ac:dyDescent="0.25">
      <c r="I691" s="4"/>
      <c r="N691" s="5"/>
      <c r="O691" s="4"/>
      <c r="P691" s="4"/>
    </row>
    <row r="692" spans="9:16" x14ac:dyDescent="0.25">
      <c r="I692" s="4"/>
      <c r="N692" s="5"/>
      <c r="O692" s="4"/>
      <c r="P692" s="4"/>
    </row>
    <row r="693" spans="9:16" x14ac:dyDescent="0.25">
      <c r="I693" s="4"/>
      <c r="N693" s="5"/>
      <c r="O693" s="4"/>
      <c r="P693" s="4"/>
    </row>
    <row r="694" spans="9:16" x14ac:dyDescent="0.25">
      <c r="I694" s="4"/>
      <c r="N694" s="5"/>
      <c r="O694" s="4"/>
      <c r="P694" s="4"/>
    </row>
    <row r="695" spans="9:16" x14ac:dyDescent="0.25">
      <c r="I695" s="4"/>
      <c r="N695" s="5"/>
      <c r="O695" s="4"/>
      <c r="P695" s="4"/>
    </row>
    <row r="696" spans="9:16" x14ac:dyDescent="0.25">
      <c r="I696" s="4"/>
      <c r="N696" s="5"/>
      <c r="O696" s="4"/>
      <c r="P696" s="4"/>
    </row>
    <row r="697" spans="9:16" x14ac:dyDescent="0.25">
      <c r="I697" s="4"/>
      <c r="N697" s="5"/>
      <c r="O697" s="4"/>
      <c r="P697" s="4"/>
    </row>
    <row r="698" spans="9:16" x14ac:dyDescent="0.25">
      <c r="I698" s="4"/>
      <c r="N698" s="5"/>
      <c r="O698" s="4"/>
      <c r="P698" s="4"/>
    </row>
    <row r="699" spans="9:16" x14ac:dyDescent="0.25">
      <c r="I699" s="4"/>
      <c r="N699" s="5"/>
      <c r="O699" s="4"/>
      <c r="P699" s="4"/>
    </row>
    <row r="700" spans="9:16" x14ac:dyDescent="0.25">
      <c r="I700" s="4"/>
      <c r="N700" s="5"/>
      <c r="O700" s="4"/>
      <c r="P700" s="4"/>
    </row>
    <row r="701" spans="9:16" x14ac:dyDescent="0.25">
      <c r="I701" s="4"/>
      <c r="N701" s="5"/>
      <c r="O701" s="4"/>
      <c r="P701" s="4"/>
    </row>
    <row r="702" spans="9:16" x14ac:dyDescent="0.25">
      <c r="I702" s="4"/>
      <c r="N702" s="5"/>
      <c r="O702" s="4"/>
      <c r="P702" s="4"/>
    </row>
    <row r="703" spans="9:16" x14ac:dyDescent="0.25">
      <c r="I703" s="4"/>
      <c r="N703" s="5"/>
      <c r="O703" s="4"/>
      <c r="P703" s="4"/>
    </row>
    <row r="704" spans="9:16" x14ac:dyDescent="0.25">
      <c r="I704" s="4"/>
      <c r="N704" s="5"/>
      <c r="O704" s="4"/>
      <c r="P704" s="4"/>
    </row>
    <row r="705" spans="9:16" x14ac:dyDescent="0.25">
      <c r="I705" s="4"/>
      <c r="N705" s="5"/>
      <c r="O705" s="4"/>
      <c r="P705" s="4"/>
    </row>
    <row r="706" spans="9:16" x14ac:dyDescent="0.25">
      <c r="I706" s="4"/>
      <c r="N706" s="5"/>
      <c r="O706" s="4"/>
      <c r="P706" s="4"/>
    </row>
    <row r="707" spans="9:16" x14ac:dyDescent="0.25">
      <c r="I707" s="4"/>
      <c r="N707" s="5"/>
      <c r="O707" s="4"/>
      <c r="P707" s="4"/>
    </row>
    <row r="708" spans="9:16" x14ac:dyDescent="0.25">
      <c r="I708" s="4"/>
      <c r="N708" s="5"/>
      <c r="O708" s="4"/>
      <c r="P708" s="4"/>
    </row>
    <row r="709" spans="9:16" x14ac:dyDescent="0.25">
      <c r="I709" s="4"/>
      <c r="N709" s="5"/>
      <c r="O709" s="4"/>
      <c r="P709" s="4"/>
    </row>
    <row r="710" spans="9:16" x14ac:dyDescent="0.25">
      <c r="I710" s="4"/>
      <c r="N710" s="5"/>
      <c r="O710" s="4"/>
      <c r="P710" s="4"/>
    </row>
    <row r="711" spans="9:16" x14ac:dyDescent="0.25">
      <c r="I711" s="4"/>
      <c r="N711" s="5"/>
      <c r="O711" s="4"/>
      <c r="P711" s="4"/>
    </row>
    <row r="712" spans="9:16" x14ac:dyDescent="0.25">
      <c r="I712" s="4"/>
      <c r="N712" s="5"/>
      <c r="O712" s="4"/>
      <c r="P712" s="4"/>
    </row>
    <row r="713" spans="9:16" x14ac:dyDescent="0.25">
      <c r="I713" s="4"/>
      <c r="N713" s="5"/>
      <c r="O713" s="4"/>
      <c r="P713" s="4"/>
    </row>
    <row r="714" spans="9:16" x14ac:dyDescent="0.25">
      <c r="I714" s="4"/>
      <c r="N714" s="5"/>
      <c r="O714" s="4"/>
      <c r="P714" s="4"/>
    </row>
    <row r="715" spans="9:16" x14ac:dyDescent="0.25">
      <c r="I715" s="4"/>
      <c r="N715" s="5"/>
      <c r="O715" s="4"/>
      <c r="P715" s="4"/>
    </row>
    <row r="716" spans="9:16" x14ac:dyDescent="0.25">
      <c r="I716" s="4"/>
      <c r="N716" s="5"/>
      <c r="O716" s="4"/>
      <c r="P716" s="4"/>
    </row>
    <row r="717" spans="9:16" x14ac:dyDescent="0.25">
      <c r="I717" s="4"/>
      <c r="N717" s="5"/>
      <c r="O717" s="4"/>
      <c r="P717" s="4"/>
    </row>
    <row r="718" spans="9:16" x14ac:dyDescent="0.25">
      <c r="I718" s="4"/>
      <c r="N718" s="5"/>
      <c r="O718" s="4"/>
      <c r="P718" s="4"/>
    </row>
    <row r="719" spans="9:16" x14ac:dyDescent="0.25">
      <c r="I719" s="4"/>
      <c r="N719" s="5"/>
      <c r="O719" s="4"/>
      <c r="P719" s="4"/>
    </row>
    <row r="720" spans="9:16" x14ac:dyDescent="0.25">
      <c r="I720" s="4"/>
      <c r="N720" s="5"/>
      <c r="O720" s="4"/>
      <c r="P720" s="4"/>
    </row>
    <row r="721" spans="9:16" x14ac:dyDescent="0.25">
      <c r="I721" s="4"/>
      <c r="N721" s="5"/>
      <c r="O721" s="4"/>
      <c r="P721" s="4"/>
    </row>
    <row r="722" spans="9:16" x14ac:dyDescent="0.25">
      <c r="I722" s="4"/>
      <c r="N722" s="5"/>
      <c r="O722" s="4"/>
      <c r="P722" s="4"/>
    </row>
    <row r="723" spans="9:16" x14ac:dyDescent="0.25">
      <c r="I723" s="4"/>
      <c r="N723" s="5"/>
      <c r="O723" s="4"/>
      <c r="P723" s="4"/>
    </row>
    <row r="724" spans="9:16" x14ac:dyDescent="0.25">
      <c r="I724" s="4"/>
      <c r="N724" s="5"/>
      <c r="O724" s="4"/>
      <c r="P724" s="4"/>
    </row>
    <row r="725" spans="9:16" x14ac:dyDescent="0.25">
      <c r="I725" s="4"/>
      <c r="N725" s="5"/>
      <c r="O725" s="4"/>
      <c r="P725" s="4"/>
    </row>
    <row r="726" spans="9:16" x14ac:dyDescent="0.25">
      <c r="I726" s="4"/>
      <c r="N726" s="5"/>
      <c r="O726" s="4"/>
      <c r="P726" s="4"/>
    </row>
    <row r="727" spans="9:16" x14ac:dyDescent="0.25">
      <c r="I727" s="4"/>
      <c r="N727" s="5"/>
      <c r="O727" s="4"/>
      <c r="P727" s="4"/>
    </row>
    <row r="728" spans="9:16" x14ac:dyDescent="0.25">
      <c r="I728" s="4"/>
      <c r="N728" s="5"/>
      <c r="O728" s="4"/>
      <c r="P728" s="4"/>
    </row>
    <row r="729" spans="9:16" x14ac:dyDescent="0.25">
      <c r="I729" s="4"/>
      <c r="N729" s="5"/>
      <c r="O729" s="4"/>
      <c r="P729" s="4"/>
    </row>
    <row r="730" spans="9:16" x14ac:dyDescent="0.25">
      <c r="I730" s="4"/>
      <c r="N730" s="5"/>
      <c r="O730" s="4"/>
      <c r="P730" s="4"/>
    </row>
    <row r="731" spans="9:16" x14ac:dyDescent="0.25">
      <c r="I731" s="4"/>
      <c r="N731" s="5"/>
      <c r="O731" s="4"/>
      <c r="P731" s="4"/>
    </row>
    <row r="732" spans="9:16" x14ac:dyDescent="0.25">
      <c r="I732" s="4"/>
      <c r="N732" s="5"/>
      <c r="O732" s="4"/>
      <c r="P732" s="4"/>
    </row>
    <row r="733" spans="9:16" x14ac:dyDescent="0.25">
      <c r="I733" s="4"/>
      <c r="N733" s="5"/>
      <c r="O733" s="4"/>
      <c r="P733" s="4"/>
    </row>
    <row r="734" spans="9:16" x14ac:dyDescent="0.25">
      <c r="I734" s="4"/>
      <c r="N734" s="5"/>
      <c r="O734" s="4"/>
      <c r="P734" s="4"/>
    </row>
    <row r="735" spans="9:16" x14ac:dyDescent="0.25">
      <c r="I735" s="4"/>
      <c r="N735" s="5"/>
      <c r="O735" s="4"/>
      <c r="P735" s="4"/>
    </row>
    <row r="736" spans="9:16" x14ac:dyDescent="0.25">
      <c r="I736" s="4"/>
      <c r="N736" s="5"/>
      <c r="O736" s="4"/>
      <c r="P736" s="4"/>
    </row>
    <row r="737" spans="9:16" x14ac:dyDescent="0.25">
      <c r="I737" s="4"/>
      <c r="N737" s="5"/>
      <c r="O737" s="4"/>
      <c r="P737" s="4"/>
    </row>
    <row r="738" spans="9:16" x14ac:dyDescent="0.25">
      <c r="I738" s="4"/>
      <c r="N738" s="5"/>
      <c r="O738" s="4"/>
      <c r="P738" s="4"/>
    </row>
    <row r="739" spans="9:16" x14ac:dyDescent="0.25">
      <c r="I739" s="4"/>
      <c r="N739" s="5"/>
      <c r="O739" s="4"/>
      <c r="P739" s="4"/>
    </row>
    <row r="740" spans="9:16" x14ac:dyDescent="0.25">
      <c r="I740" s="4"/>
      <c r="N740" s="5"/>
      <c r="O740" s="4"/>
      <c r="P740" s="4"/>
    </row>
    <row r="741" spans="9:16" x14ac:dyDescent="0.25">
      <c r="I741" s="4"/>
      <c r="N741" s="5"/>
      <c r="O741" s="4"/>
      <c r="P741" s="4"/>
    </row>
    <row r="742" spans="9:16" x14ac:dyDescent="0.25">
      <c r="I742" s="4"/>
      <c r="N742" s="5"/>
      <c r="O742" s="4"/>
      <c r="P742" s="4"/>
    </row>
    <row r="743" spans="9:16" x14ac:dyDescent="0.25">
      <c r="I743" s="4"/>
      <c r="N743" s="5"/>
      <c r="O743" s="4"/>
      <c r="P743" s="4"/>
    </row>
    <row r="744" spans="9:16" x14ac:dyDescent="0.25">
      <c r="I744" s="4"/>
      <c r="N744" s="5"/>
      <c r="O744" s="4"/>
      <c r="P744" s="4"/>
    </row>
    <row r="745" spans="9:16" x14ac:dyDescent="0.25">
      <c r="I745" s="4"/>
      <c r="N745" s="5"/>
      <c r="O745" s="4"/>
      <c r="P745" s="4"/>
    </row>
    <row r="746" spans="9:16" x14ac:dyDescent="0.25">
      <c r="I746" s="4"/>
      <c r="N746" s="5"/>
      <c r="O746" s="4"/>
      <c r="P746" s="4"/>
    </row>
    <row r="747" spans="9:16" x14ac:dyDescent="0.25">
      <c r="I747" s="4"/>
      <c r="N747" s="5"/>
      <c r="O747" s="4"/>
      <c r="P747" s="4"/>
    </row>
    <row r="748" spans="9:16" x14ac:dyDescent="0.25">
      <c r="I748" s="4"/>
      <c r="N748" s="5"/>
      <c r="O748" s="4"/>
      <c r="P748" s="4"/>
    </row>
    <row r="749" spans="9:16" x14ac:dyDescent="0.25">
      <c r="I749" s="4"/>
      <c r="N749" s="5"/>
      <c r="O749" s="4"/>
      <c r="P749" s="4"/>
    </row>
    <row r="750" spans="9:16" x14ac:dyDescent="0.25">
      <c r="I750" s="4"/>
      <c r="N750" s="5"/>
      <c r="O750" s="4"/>
      <c r="P750" s="4"/>
    </row>
    <row r="751" spans="9:16" x14ac:dyDescent="0.25">
      <c r="I751" s="4"/>
      <c r="N751" s="5"/>
      <c r="O751" s="4"/>
      <c r="P751" s="4"/>
    </row>
    <row r="752" spans="9:16" x14ac:dyDescent="0.25">
      <c r="I752" s="4"/>
      <c r="N752" s="5"/>
      <c r="O752" s="4"/>
      <c r="P752" s="4"/>
    </row>
    <row r="753" spans="9:16" x14ac:dyDescent="0.25">
      <c r="I753" s="4"/>
      <c r="N753" s="5"/>
      <c r="O753" s="4"/>
      <c r="P753" s="4"/>
    </row>
    <row r="754" spans="9:16" x14ac:dyDescent="0.25">
      <c r="I754" s="4"/>
      <c r="N754" s="5"/>
      <c r="O754" s="4"/>
      <c r="P754" s="4"/>
    </row>
    <row r="755" spans="9:16" x14ac:dyDescent="0.25">
      <c r="I755" s="4"/>
      <c r="N755" s="5"/>
      <c r="O755" s="4"/>
      <c r="P755" s="4"/>
    </row>
    <row r="756" spans="9:16" x14ac:dyDescent="0.25">
      <c r="I756" s="4"/>
      <c r="N756" s="5"/>
      <c r="O756" s="4"/>
      <c r="P756" s="4"/>
    </row>
    <row r="757" spans="9:16" x14ac:dyDescent="0.25">
      <c r="I757" s="4"/>
      <c r="N757" s="5"/>
      <c r="O757" s="4"/>
      <c r="P757" s="4"/>
    </row>
    <row r="758" spans="9:16" x14ac:dyDescent="0.25">
      <c r="I758" s="4"/>
      <c r="N758" s="5"/>
      <c r="O758" s="4"/>
      <c r="P758" s="4"/>
    </row>
    <row r="759" spans="9:16" x14ac:dyDescent="0.25">
      <c r="I759" s="4"/>
      <c r="N759" s="5"/>
      <c r="O759" s="4"/>
      <c r="P759" s="4"/>
    </row>
    <row r="760" spans="9:16" x14ac:dyDescent="0.25">
      <c r="I760" s="4"/>
      <c r="N760" s="5"/>
      <c r="O760" s="4"/>
      <c r="P760" s="4"/>
    </row>
    <row r="761" spans="9:16" x14ac:dyDescent="0.25">
      <c r="I761" s="4"/>
      <c r="N761" s="5"/>
      <c r="O761" s="4"/>
      <c r="P761" s="4"/>
    </row>
    <row r="762" spans="9:16" x14ac:dyDescent="0.25">
      <c r="I762" s="4"/>
      <c r="N762" s="5"/>
      <c r="O762" s="4"/>
      <c r="P762" s="4"/>
    </row>
    <row r="763" spans="9:16" x14ac:dyDescent="0.25">
      <c r="I763" s="4"/>
      <c r="N763" s="5"/>
      <c r="O763" s="4"/>
      <c r="P763" s="4"/>
    </row>
    <row r="764" spans="9:16" x14ac:dyDescent="0.25">
      <c r="I764" s="4"/>
      <c r="N764" s="5"/>
      <c r="O764" s="4"/>
      <c r="P764" s="4"/>
    </row>
    <row r="765" spans="9:16" x14ac:dyDescent="0.25">
      <c r="I765" s="4"/>
      <c r="N765" s="5"/>
      <c r="O765" s="4"/>
      <c r="P765" s="4"/>
    </row>
    <row r="766" spans="9:16" x14ac:dyDescent="0.25">
      <c r="I766" s="4"/>
      <c r="N766" s="5"/>
      <c r="O766" s="4"/>
      <c r="P766" s="4"/>
    </row>
    <row r="767" spans="9:16" x14ac:dyDescent="0.25">
      <c r="I767" s="4"/>
      <c r="N767" s="5"/>
      <c r="O767" s="4"/>
      <c r="P767" s="4"/>
    </row>
    <row r="768" spans="9:16" x14ac:dyDescent="0.25">
      <c r="I768" s="4"/>
      <c r="N768" s="5"/>
      <c r="O768" s="4"/>
      <c r="P768" s="4"/>
    </row>
    <row r="769" spans="9:16" x14ac:dyDescent="0.25">
      <c r="I769" s="4"/>
      <c r="N769" s="5"/>
      <c r="O769" s="4"/>
      <c r="P769" s="4"/>
    </row>
    <row r="770" spans="9:16" x14ac:dyDescent="0.25">
      <c r="I770" s="4"/>
      <c r="N770" s="5"/>
      <c r="O770" s="4"/>
      <c r="P770" s="4"/>
    </row>
    <row r="771" spans="9:16" x14ac:dyDescent="0.25">
      <c r="I771" s="4"/>
      <c r="N771" s="5"/>
      <c r="O771" s="4"/>
      <c r="P771" s="4"/>
    </row>
    <row r="772" spans="9:16" x14ac:dyDescent="0.25">
      <c r="I772" s="4"/>
      <c r="N772" s="5"/>
      <c r="O772" s="4"/>
      <c r="P772" s="4"/>
    </row>
    <row r="773" spans="9:16" x14ac:dyDescent="0.25">
      <c r="I773" s="4"/>
      <c r="N773" s="5"/>
      <c r="O773" s="4"/>
      <c r="P773" s="4"/>
    </row>
    <row r="774" spans="9:16" x14ac:dyDescent="0.25">
      <c r="I774" s="4"/>
      <c r="N774" s="5"/>
      <c r="O774" s="4"/>
      <c r="P774" s="4"/>
    </row>
    <row r="775" spans="9:16" x14ac:dyDescent="0.25">
      <c r="I775" s="4"/>
      <c r="N775" s="5"/>
      <c r="O775" s="4"/>
      <c r="P775" s="4"/>
    </row>
    <row r="776" spans="9:16" x14ac:dyDescent="0.25">
      <c r="I776" s="4"/>
      <c r="N776" s="5"/>
      <c r="O776" s="4"/>
      <c r="P776" s="4"/>
    </row>
    <row r="777" spans="9:16" x14ac:dyDescent="0.25">
      <c r="I777" s="4"/>
      <c r="N777" s="5"/>
      <c r="O777" s="4"/>
      <c r="P777" s="4"/>
    </row>
    <row r="778" spans="9:16" x14ac:dyDescent="0.25">
      <c r="I778" s="4"/>
      <c r="N778" s="5"/>
      <c r="O778" s="4"/>
      <c r="P778" s="4"/>
    </row>
    <row r="779" spans="9:16" x14ac:dyDescent="0.25">
      <c r="I779" s="4"/>
      <c r="N779" s="5"/>
      <c r="O779" s="4"/>
      <c r="P779" s="4"/>
    </row>
    <row r="780" spans="9:16" x14ac:dyDescent="0.25">
      <c r="I780" s="4"/>
      <c r="N780" s="5"/>
      <c r="O780" s="4"/>
      <c r="P780" s="4"/>
    </row>
    <row r="781" spans="9:16" x14ac:dyDescent="0.25">
      <c r="I781" s="4"/>
      <c r="N781" s="5"/>
      <c r="O781" s="4"/>
      <c r="P781" s="4"/>
    </row>
    <row r="782" spans="9:16" x14ac:dyDescent="0.25">
      <c r="I782" s="4"/>
      <c r="N782" s="5"/>
      <c r="O782" s="4"/>
      <c r="P782" s="4"/>
    </row>
    <row r="783" spans="9:16" x14ac:dyDescent="0.25">
      <c r="I783" s="4"/>
      <c r="N783" s="5"/>
      <c r="O783" s="4"/>
      <c r="P783" s="4"/>
    </row>
    <row r="784" spans="9:16" x14ac:dyDescent="0.25">
      <c r="I784" s="4"/>
      <c r="N784" s="5"/>
      <c r="O784" s="4"/>
      <c r="P784" s="4"/>
    </row>
    <row r="785" spans="9:16" x14ac:dyDescent="0.25">
      <c r="I785" s="4"/>
      <c r="N785" s="5"/>
      <c r="O785" s="4"/>
      <c r="P785" s="4"/>
    </row>
    <row r="786" spans="9:16" x14ac:dyDescent="0.25">
      <c r="I786" s="4"/>
      <c r="N786" s="5"/>
      <c r="O786" s="4"/>
      <c r="P786" s="4"/>
    </row>
    <row r="787" spans="9:16" x14ac:dyDescent="0.25">
      <c r="I787" s="4"/>
      <c r="N787" s="5"/>
      <c r="O787" s="4"/>
      <c r="P787" s="4"/>
    </row>
    <row r="788" spans="9:16" x14ac:dyDescent="0.25">
      <c r="I788" s="4"/>
      <c r="N788" s="5"/>
      <c r="O788" s="4"/>
      <c r="P788" s="4"/>
    </row>
    <row r="789" spans="9:16" x14ac:dyDescent="0.25">
      <c r="I789" s="4"/>
      <c r="N789" s="5"/>
      <c r="O789" s="4"/>
      <c r="P789" s="4"/>
    </row>
    <row r="790" spans="9:16" x14ac:dyDescent="0.25">
      <c r="I790" s="4"/>
      <c r="N790" s="5"/>
      <c r="O790" s="4"/>
      <c r="P790" s="4"/>
    </row>
    <row r="791" spans="9:16" x14ac:dyDescent="0.25">
      <c r="I791" s="4"/>
      <c r="N791" s="5"/>
      <c r="O791" s="4"/>
      <c r="P791" s="4"/>
    </row>
    <row r="792" spans="9:16" x14ac:dyDescent="0.25">
      <c r="I792" s="4"/>
      <c r="N792" s="5"/>
      <c r="O792" s="4"/>
      <c r="P792" s="4"/>
    </row>
    <row r="793" spans="9:16" x14ac:dyDescent="0.25">
      <c r="I793" s="4"/>
      <c r="N793" s="5"/>
      <c r="O793" s="4"/>
      <c r="P793" s="4"/>
    </row>
    <row r="794" spans="9:16" x14ac:dyDescent="0.25">
      <c r="I794" s="4"/>
      <c r="N794" s="5"/>
      <c r="O794" s="4"/>
      <c r="P794" s="4"/>
    </row>
    <row r="795" spans="9:16" x14ac:dyDescent="0.25">
      <c r="I795" s="4"/>
      <c r="N795" s="5"/>
      <c r="O795" s="4"/>
      <c r="P795" s="4"/>
    </row>
    <row r="796" spans="9:16" x14ac:dyDescent="0.25">
      <c r="I796" s="4"/>
      <c r="N796" s="5"/>
      <c r="O796" s="4"/>
      <c r="P796" s="4"/>
    </row>
    <row r="797" spans="9:16" x14ac:dyDescent="0.25">
      <c r="I797" s="4"/>
      <c r="N797" s="5"/>
      <c r="O797" s="4"/>
      <c r="P797" s="4"/>
    </row>
    <row r="798" spans="9:16" x14ac:dyDescent="0.25">
      <c r="I798" s="4"/>
      <c r="N798" s="5"/>
      <c r="O798" s="4"/>
      <c r="P798" s="4"/>
    </row>
    <row r="799" spans="9:16" x14ac:dyDescent="0.25">
      <c r="I799" s="4"/>
      <c r="N799" s="5"/>
      <c r="O799" s="4"/>
      <c r="P799" s="4"/>
    </row>
    <row r="800" spans="9:16" x14ac:dyDescent="0.25">
      <c r="I800" s="4"/>
      <c r="N800" s="5"/>
      <c r="O800" s="4"/>
      <c r="P800" s="4"/>
    </row>
    <row r="801" spans="9:16" x14ac:dyDescent="0.25">
      <c r="I801" s="4"/>
      <c r="N801" s="5"/>
      <c r="O801" s="4"/>
      <c r="P801" s="4"/>
    </row>
    <row r="802" spans="9:16" x14ac:dyDescent="0.25">
      <c r="I802" s="4"/>
      <c r="N802" s="5"/>
      <c r="O802" s="4"/>
      <c r="P802" s="4"/>
    </row>
    <row r="803" spans="9:16" x14ac:dyDescent="0.25">
      <c r="I803" s="4"/>
      <c r="N803" s="5"/>
      <c r="O803" s="4"/>
      <c r="P803" s="4"/>
    </row>
    <row r="804" spans="9:16" x14ac:dyDescent="0.25">
      <c r="I804" s="4"/>
      <c r="N804" s="5"/>
      <c r="O804" s="4"/>
      <c r="P804" s="4"/>
    </row>
    <row r="805" spans="9:16" x14ac:dyDescent="0.25">
      <c r="I805" s="4"/>
      <c r="N805" s="5"/>
      <c r="O805" s="4"/>
      <c r="P805" s="4"/>
    </row>
    <row r="806" spans="9:16" x14ac:dyDescent="0.25">
      <c r="I806" s="4"/>
      <c r="N806" s="5"/>
      <c r="O806" s="4"/>
      <c r="P806" s="4"/>
    </row>
    <row r="807" spans="9:16" x14ac:dyDescent="0.25">
      <c r="I807" s="4"/>
      <c r="N807" s="5"/>
      <c r="O807" s="4"/>
      <c r="P807" s="4"/>
    </row>
    <row r="808" spans="9:16" x14ac:dyDescent="0.25">
      <c r="I808" s="4"/>
      <c r="N808" s="5"/>
      <c r="O808" s="4"/>
      <c r="P808" s="4"/>
    </row>
    <row r="809" spans="9:16" x14ac:dyDescent="0.25">
      <c r="I809" s="4"/>
      <c r="N809" s="5"/>
      <c r="O809" s="4"/>
      <c r="P809" s="4"/>
    </row>
    <row r="810" spans="9:16" x14ac:dyDescent="0.25">
      <c r="I810" s="4"/>
      <c r="N810" s="5"/>
      <c r="O810" s="4"/>
      <c r="P810" s="4"/>
    </row>
    <row r="811" spans="9:16" x14ac:dyDescent="0.25">
      <c r="I811" s="4"/>
      <c r="N811" s="5"/>
      <c r="O811" s="4"/>
      <c r="P811" s="4"/>
    </row>
    <row r="812" spans="9:16" x14ac:dyDescent="0.25">
      <c r="I812" s="4"/>
      <c r="N812" s="5"/>
      <c r="O812" s="4"/>
      <c r="P812" s="4"/>
    </row>
    <row r="813" spans="9:16" x14ac:dyDescent="0.25">
      <c r="I813" s="4"/>
      <c r="N813" s="5"/>
      <c r="O813" s="4"/>
      <c r="P813" s="4"/>
    </row>
    <row r="814" spans="9:16" x14ac:dyDescent="0.25">
      <c r="I814" s="4"/>
      <c r="N814" s="5"/>
      <c r="O814" s="4"/>
      <c r="P814" s="4"/>
    </row>
    <row r="815" spans="9:16" x14ac:dyDescent="0.25">
      <c r="I815" s="4"/>
      <c r="N815" s="5"/>
      <c r="O815" s="4"/>
      <c r="P815" s="4"/>
    </row>
    <row r="816" spans="9:16" x14ac:dyDescent="0.25">
      <c r="I816" s="4"/>
      <c r="N816" s="5"/>
      <c r="O816" s="4"/>
      <c r="P816" s="4"/>
    </row>
    <row r="817" spans="9:16" x14ac:dyDescent="0.25">
      <c r="I817" s="4"/>
      <c r="N817" s="5"/>
      <c r="O817" s="4"/>
      <c r="P817" s="4"/>
    </row>
    <row r="818" spans="9:16" x14ac:dyDescent="0.25">
      <c r="I818" s="4"/>
      <c r="N818" s="5"/>
      <c r="O818" s="4"/>
      <c r="P818" s="4"/>
    </row>
    <row r="819" spans="9:16" x14ac:dyDescent="0.25">
      <c r="I819" s="4"/>
      <c r="N819" s="5"/>
      <c r="O819" s="4"/>
      <c r="P819" s="4"/>
    </row>
    <row r="820" spans="9:16" x14ac:dyDescent="0.25">
      <c r="I820" s="4"/>
      <c r="N820" s="5"/>
      <c r="O820" s="4"/>
      <c r="P820" s="4"/>
    </row>
    <row r="821" spans="9:16" x14ac:dyDescent="0.25">
      <c r="I821" s="4"/>
      <c r="N821" s="5"/>
      <c r="O821" s="4"/>
      <c r="P821" s="4"/>
    </row>
    <row r="822" spans="9:16" x14ac:dyDescent="0.25">
      <c r="I822" s="4"/>
      <c r="N822" s="5"/>
      <c r="O822" s="4"/>
      <c r="P822" s="4"/>
    </row>
    <row r="823" spans="9:16" x14ac:dyDescent="0.25">
      <c r="I823" s="4"/>
      <c r="N823" s="5"/>
      <c r="O823" s="4"/>
      <c r="P823" s="4"/>
    </row>
    <row r="824" spans="9:16" x14ac:dyDescent="0.25">
      <c r="I824" s="4"/>
      <c r="N824" s="5"/>
      <c r="O824" s="4"/>
      <c r="P824" s="4"/>
    </row>
    <row r="825" spans="9:16" x14ac:dyDescent="0.25">
      <c r="I825" s="4"/>
      <c r="N825" s="5"/>
      <c r="O825" s="4"/>
      <c r="P825" s="4"/>
    </row>
    <row r="826" spans="9:16" x14ac:dyDescent="0.25">
      <c r="I826" s="4"/>
      <c r="N826" s="5"/>
      <c r="O826" s="4"/>
      <c r="P826" s="4"/>
    </row>
    <row r="827" spans="9:16" x14ac:dyDescent="0.25">
      <c r="I827" s="4"/>
      <c r="N827" s="5"/>
      <c r="O827" s="4"/>
      <c r="P827" s="4"/>
    </row>
    <row r="828" spans="9:16" x14ac:dyDescent="0.25">
      <c r="I828" s="4"/>
      <c r="N828" s="5"/>
      <c r="O828" s="4"/>
      <c r="P828" s="4"/>
    </row>
    <row r="829" spans="9:16" x14ac:dyDescent="0.25">
      <c r="I829" s="4"/>
      <c r="N829" s="5"/>
      <c r="O829" s="4"/>
      <c r="P829" s="4"/>
    </row>
    <row r="830" spans="9:16" x14ac:dyDescent="0.25">
      <c r="I830" s="4"/>
      <c r="N830" s="5"/>
      <c r="O830" s="4"/>
      <c r="P830" s="4"/>
    </row>
    <row r="831" spans="9:16" x14ac:dyDescent="0.25">
      <c r="I831" s="4"/>
      <c r="N831" s="5"/>
      <c r="O831" s="4"/>
      <c r="P831" s="4"/>
    </row>
    <row r="832" spans="9:16" x14ac:dyDescent="0.25">
      <c r="I832" s="4"/>
      <c r="N832" s="5"/>
      <c r="O832" s="4"/>
      <c r="P832" s="4"/>
    </row>
    <row r="833" spans="9:16" x14ac:dyDescent="0.25">
      <c r="I833" s="4"/>
      <c r="N833" s="5"/>
      <c r="O833" s="4"/>
      <c r="P833" s="4"/>
    </row>
    <row r="834" spans="9:16" x14ac:dyDescent="0.25">
      <c r="I834" s="4"/>
      <c r="N834" s="5"/>
      <c r="O834" s="4"/>
      <c r="P834" s="4"/>
    </row>
    <row r="835" spans="9:16" x14ac:dyDescent="0.25">
      <c r="I835" s="4"/>
      <c r="N835" s="5"/>
      <c r="O835" s="4"/>
      <c r="P835" s="4"/>
    </row>
    <row r="836" spans="9:16" x14ac:dyDescent="0.25">
      <c r="I836" s="4"/>
      <c r="N836" s="5"/>
      <c r="O836" s="4"/>
      <c r="P836" s="4"/>
    </row>
    <row r="837" spans="9:16" x14ac:dyDescent="0.25">
      <c r="I837" s="4"/>
      <c r="N837" s="5"/>
      <c r="O837" s="4"/>
      <c r="P837" s="4"/>
    </row>
    <row r="838" spans="9:16" x14ac:dyDescent="0.25">
      <c r="I838" s="4"/>
      <c r="N838" s="5"/>
      <c r="O838" s="4"/>
      <c r="P838" s="4"/>
    </row>
    <row r="839" spans="9:16" x14ac:dyDescent="0.25">
      <c r="I839" s="4"/>
      <c r="N839" s="5"/>
      <c r="O839" s="4"/>
      <c r="P839" s="4"/>
    </row>
    <row r="840" spans="9:16" x14ac:dyDescent="0.25">
      <c r="I840" s="4"/>
      <c r="N840" s="5"/>
      <c r="O840" s="4"/>
      <c r="P840" s="4"/>
    </row>
    <row r="841" spans="9:16" x14ac:dyDescent="0.25">
      <c r="I841" s="4"/>
      <c r="N841" s="5"/>
      <c r="O841" s="4"/>
      <c r="P841" s="4"/>
    </row>
    <row r="842" spans="9:16" x14ac:dyDescent="0.25">
      <c r="I842" s="4"/>
      <c r="N842" s="5"/>
      <c r="O842" s="4"/>
      <c r="P842" s="4"/>
    </row>
    <row r="843" spans="9:16" x14ac:dyDescent="0.25">
      <c r="I843" s="4"/>
      <c r="N843" s="5"/>
      <c r="O843" s="4"/>
      <c r="P843" s="4"/>
    </row>
    <row r="844" spans="9:16" x14ac:dyDescent="0.25">
      <c r="I844" s="4"/>
      <c r="N844" s="5"/>
      <c r="O844" s="4"/>
      <c r="P844" s="4"/>
    </row>
    <row r="845" spans="9:16" x14ac:dyDescent="0.25">
      <c r="I845" s="4"/>
      <c r="N845" s="5"/>
      <c r="O845" s="4"/>
      <c r="P845" s="4"/>
    </row>
    <row r="846" spans="9:16" x14ac:dyDescent="0.25">
      <c r="I846" s="4"/>
      <c r="N846" s="5"/>
      <c r="O846" s="4"/>
      <c r="P846" s="4"/>
    </row>
    <row r="847" spans="9:16" x14ac:dyDescent="0.25">
      <c r="I847" s="4"/>
      <c r="N847" s="5"/>
      <c r="O847" s="4"/>
      <c r="P847" s="4"/>
    </row>
    <row r="848" spans="9:16" x14ac:dyDescent="0.25">
      <c r="I848" s="4"/>
      <c r="N848" s="5"/>
      <c r="O848" s="4"/>
      <c r="P848" s="4"/>
    </row>
    <row r="849" spans="9:16" x14ac:dyDescent="0.25">
      <c r="I849" s="4"/>
      <c r="N849" s="5"/>
      <c r="O849" s="4"/>
      <c r="P849" s="4"/>
    </row>
    <row r="850" spans="9:16" x14ac:dyDescent="0.25">
      <c r="I850" s="4"/>
      <c r="N850" s="5"/>
      <c r="O850" s="4"/>
      <c r="P850" s="4"/>
    </row>
    <row r="851" spans="9:16" x14ac:dyDescent="0.25">
      <c r="I851" s="4"/>
      <c r="N851" s="5"/>
      <c r="O851" s="4"/>
      <c r="P851" s="4"/>
    </row>
    <row r="852" spans="9:16" x14ac:dyDescent="0.25">
      <c r="I852" s="4"/>
      <c r="N852" s="5"/>
      <c r="O852" s="4"/>
      <c r="P852" s="4"/>
    </row>
    <row r="853" spans="9:16" x14ac:dyDescent="0.25">
      <c r="I853" s="4"/>
      <c r="N853" s="5"/>
      <c r="O853" s="4"/>
      <c r="P853" s="4"/>
    </row>
    <row r="854" spans="9:16" x14ac:dyDescent="0.25">
      <c r="I854" s="4"/>
      <c r="N854" s="5"/>
      <c r="O854" s="4"/>
      <c r="P854" s="4"/>
    </row>
    <row r="855" spans="9:16" x14ac:dyDescent="0.25">
      <c r="I855" s="4"/>
      <c r="N855" s="5"/>
      <c r="O855" s="4"/>
      <c r="P855" s="4"/>
    </row>
    <row r="856" spans="9:16" x14ac:dyDescent="0.25">
      <c r="I856" s="4"/>
      <c r="N856" s="5"/>
      <c r="O856" s="4"/>
      <c r="P856" s="4"/>
    </row>
    <row r="857" spans="9:16" x14ac:dyDescent="0.25">
      <c r="I857" s="4"/>
      <c r="N857" s="5"/>
      <c r="O857" s="4"/>
      <c r="P857" s="4"/>
    </row>
    <row r="858" spans="9:16" x14ac:dyDescent="0.25">
      <c r="I858" s="4"/>
      <c r="N858" s="5"/>
      <c r="O858" s="4"/>
      <c r="P858" s="4"/>
    </row>
    <row r="859" spans="9:16" x14ac:dyDescent="0.25">
      <c r="I859" s="4"/>
      <c r="N859" s="5"/>
      <c r="O859" s="4"/>
      <c r="P859" s="4"/>
    </row>
    <row r="860" spans="9:16" x14ac:dyDescent="0.25">
      <c r="I860" s="4"/>
      <c r="N860" s="5"/>
      <c r="O860" s="4"/>
      <c r="P860" s="4"/>
    </row>
    <row r="861" spans="9:16" x14ac:dyDescent="0.25">
      <c r="I861" s="4"/>
      <c r="N861" s="5"/>
      <c r="O861" s="4"/>
      <c r="P861" s="4"/>
    </row>
    <row r="862" spans="9:16" x14ac:dyDescent="0.25">
      <c r="I862" s="4"/>
      <c r="N862" s="5"/>
      <c r="O862" s="4"/>
      <c r="P862" s="4"/>
    </row>
    <row r="863" spans="9:16" x14ac:dyDescent="0.25">
      <c r="I863" s="4"/>
      <c r="N863" s="5"/>
      <c r="O863" s="4"/>
      <c r="P863" s="4"/>
    </row>
    <row r="864" spans="9:16" x14ac:dyDescent="0.25">
      <c r="I864" s="4"/>
      <c r="N864" s="5"/>
      <c r="O864" s="4"/>
      <c r="P864" s="4"/>
    </row>
    <row r="865" spans="9:16" x14ac:dyDescent="0.25">
      <c r="I865" s="4"/>
      <c r="N865" s="5"/>
      <c r="O865" s="4"/>
      <c r="P865" s="4"/>
    </row>
    <row r="866" spans="9:16" x14ac:dyDescent="0.25">
      <c r="I866" s="4"/>
      <c r="N866" s="5"/>
      <c r="O866" s="4"/>
      <c r="P866" s="4"/>
    </row>
    <row r="867" spans="9:16" x14ac:dyDescent="0.25">
      <c r="I867" s="4"/>
      <c r="N867" s="5"/>
      <c r="O867" s="4"/>
      <c r="P867" s="4"/>
    </row>
    <row r="868" spans="9:16" x14ac:dyDescent="0.25">
      <c r="I868" s="4"/>
      <c r="N868" s="5"/>
      <c r="O868" s="4"/>
      <c r="P868" s="4"/>
    </row>
    <row r="869" spans="9:16" x14ac:dyDescent="0.25">
      <c r="I869" s="4"/>
      <c r="N869" s="5"/>
      <c r="O869" s="4"/>
      <c r="P869" s="4"/>
    </row>
    <row r="870" spans="9:16" x14ac:dyDescent="0.25">
      <c r="I870" s="4"/>
      <c r="N870" s="5"/>
      <c r="O870" s="4"/>
      <c r="P870" s="4"/>
    </row>
    <row r="871" spans="9:16" x14ac:dyDescent="0.25">
      <c r="I871" s="4"/>
      <c r="N871" s="5"/>
      <c r="O871" s="4"/>
      <c r="P871" s="4"/>
    </row>
    <row r="872" spans="9:16" x14ac:dyDescent="0.25">
      <c r="I872" s="4"/>
      <c r="N872" s="5"/>
      <c r="O872" s="4"/>
      <c r="P872" s="4"/>
    </row>
    <row r="873" spans="9:16" x14ac:dyDescent="0.25">
      <c r="I873" s="4"/>
      <c r="N873" s="5"/>
      <c r="O873" s="4"/>
      <c r="P873" s="4"/>
    </row>
    <row r="874" spans="9:16" x14ac:dyDescent="0.25">
      <c r="I874" s="4"/>
      <c r="N874" s="5"/>
      <c r="O874" s="4"/>
      <c r="P874" s="4"/>
    </row>
    <row r="875" spans="9:16" x14ac:dyDescent="0.25">
      <c r="I875" s="4"/>
      <c r="N875" s="5"/>
      <c r="O875" s="4"/>
      <c r="P875" s="4"/>
    </row>
    <row r="876" spans="9:16" x14ac:dyDescent="0.25">
      <c r="I876" s="4"/>
      <c r="N876" s="5"/>
      <c r="O876" s="4"/>
      <c r="P876" s="4"/>
    </row>
    <row r="877" spans="9:16" x14ac:dyDescent="0.25">
      <c r="I877" s="4"/>
      <c r="N877" s="5"/>
      <c r="O877" s="4"/>
      <c r="P877" s="4"/>
    </row>
    <row r="878" spans="9:16" x14ac:dyDescent="0.25">
      <c r="I878" s="4"/>
      <c r="N878" s="5"/>
      <c r="O878" s="4"/>
      <c r="P878" s="4"/>
    </row>
    <row r="879" spans="9:16" x14ac:dyDescent="0.25">
      <c r="I879" s="4"/>
      <c r="N879" s="5"/>
      <c r="O879" s="4"/>
      <c r="P879" s="4"/>
    </row>
    <row r="880" spans="9:16" x14ac:dyDescent="0.25">
      <c r="I880" s="4"/>
      <c r="N880" s="5"/>
      <c r="O880" s="4"/>
      <c r="P880" s="4"/>
    </row>
    <row r="881" spans="9:16" x14ac:dyDescent="0.25">
      <c r="I881" s="4"/>
      <c r="N881" s="5"/>
      <c r="O881" s="4"/>
      <c r="P881" s="4"/>
    </row>
    <row r="882" spans="9:16" x14ac:dyDescent="0.25">
      <c r="I882" s="4"/>
      <c r="N882" s="5"/>
      <c r="O882" s="4"/>
      <c r="P882" s="4"/>
    </row>
    <row r="883" spans="9:16" x14ac:dyDescent="0.25">
      <c r="I883" s="4"/>
      <c r="N883" s="5"/>
      <c r="O883" s="4"/>
      <c r="P883" s="4"/>
    </row>
    <row r="884" spans="9:16" x14ac:dyDescent="0.25">
      <c r="I884" s="4"/>
      <c r="N884" s="5"/>
      <c r="O884" s="4"/>
      <c r="P884" s="4"/>
    </row>
    <row r="885" spans="9:16" x14ac:dyDescent="0.25">
      <c r="I885" s="4"/>
      <c r="N885" s="5"/>
      <c r="O885" s="4"/>
      <c r="P885" s="4"/>
    </row>
    <row r="886" spans="9:16" x14ac:dyDescent="0.25">
      <c r="I886" s="4"/>
      <c r="N886" s="5"/>
      <c r="O886" s="4"/>
      <c r="P886" s="4"/>
    </row>
    <row r="887" spans="9:16" x14ac:dyDescent="0.25">
      <c r="I887" s="4"/>
      <c r="N887" s="5"/>
      <c r="O887" s="4"/>
      <c r="P887" s="4"/>
    </row>
    <row r="888" spans="9:16" x14ac:dyDescent="0.25">
      <c r="I888" s="4"/>
      <c r="N888" s="5"/>
      <c r="O888" s="4"/>
      <c r="P888" s="4"/>
    </row>
    <row r="889" spans="9:16" x14ac:dyDescent="0.25">
      <c r="I889" s="4"/>
      <c r="N889" s="5"/>
      <c r="O889" s="4"/>
      <c r="P889" s="4"/>
    </row>
    <row r="890" spans="9:16" x14ac:dyDescent="0.25">
      <c r="I890" s="4"/>
      <c r="N890" s="5"/>
      <c r="O890" s="4"/>
      <c r="P890" s="4"/>
    </row>
    <row r="891" spans="9:16" x14ac:dyDescent="0.25">
      <c r="I891" s="4"/>
      <c r="N891" s="5"/>
      <c r="O891" s="4"/>
      <c r="P891" s="4"/>
    </row>
    <row r="892" spans="9:16" x14ac:dyDescent="0.25">
      <c r="I892" s="4"/>
      <c r="N892" s="5"/>
      <c r="O892" s="4"/>
      <c r="P892" s="4"/>
    </row>
    <row r="893" spans="9:16" x14ac:dyDescent="0.25">
      <c r="I893" s="4"/>
      <c r="N893" s="5"/>
      <c r="O893" s="4"/>
      <c r="P893" s="4"/>
    </row>
    <row r="894" spans="9:16" x14ac:dyDescent="0.25">
      <c r="I894" s="4"/>
      <c r="N894" s="5"/>
      <c r="O894" s="4"/>
      <c r="P894" s="4"/>
    </row>
    <row r="895" spans="9:16" x14ac:dyDescent="0.25">
      <c r="I895" s="4"/>
      <c r="N895" s="5"/>
      <c r="O895" s="4"/>
      <c r="P895" s="4"/>
    </row>
    <row r="896" spans="9:16" x14ac:dyDescent="0.25">
      <c r="I896" s="4"/>
      <c r="N896" s="5"/>
      <c r="O896" s="4"/>
      <c r="P896" s="4"/>
    </row>
    <row r="897" spans="9:16" x14ac:dyDescent="0.25">
      <c r="I897" s="4"/>
      <c r="N897" s="5"/>
      <c r="O897" s="4"/>
      <c r="P897" s="4"/>
    </row>
    <row r="898" spans="9:16" x14ac:dyDescent="0.25">
      <c r="I898" s="4"/>
      <c r="N898" s="5"/>
      <c r="O898" s="4"/>
      <c r="P898" s="4"/>
    </row>
    <row r="899" spans="9:16" x14ac:dyDescent="0.25">
      <c r="I899" s="4"/>
      <c r="N899" s="5"/>
      <c r="O899" s="4"/>
      <c r="P899" s="4"/>
    </row>
    <row r="900" spans="9:16" x14ac:dyDescent="0.25">
      <c r="I900" s="4"/>
      <c r="N900" s="5"/>
      <c r="O900" s="4"/>
      <c r="P900" s="4"/>
    </row>
    <row r="901" spans="9:16" x14ac:dyDescent="0.25">
      <c r="I901" s="4"/>
      <c r="N901" s="5"/>
      <c r="O901" s="4"/>
      <c r="P901" s="4"/>
    </row>
    <row r="902" spans="9:16" x14ac:dyDescent="0.25">
      <c r="I902" s="4"/>
      <c r="N902" s="5"/>
      <c r="O902" s="4"/>
      <c r="P902" s="4"/>
    </row>
    <row r="903" spans="9:16" x14ac:dyDescent="0.25">
      <c r="I903" s="4"/>
      <c r="N903" s="5"/>
      <c r="O903" s="4"/>
      <c r="P903" s="4"/>
    </row>
    <row r="904" spans="9:16" x14ac:dyDescent="0.25">
      <c r="I904" s="4"/>
      <c r="N904" s="5"/>
      <c r="O904" s="4"/>
      <c r="P904" s="4"/>
    </row>
    <row r="905" spans="9:16" x14ac:dyDescent="0.25">
      <c r="I905" s="4"/>
      <c r="N905" s="5"/>
      <c r="O905" s="4"/>
      <c r="P905" s="4"/>
    </row>
    <row r="906" spans="9:16" x14ac:dyDescent="0.25">
      <c r="I906" s="4"/>
      <c r="N906" s="5"/>
      <c r="O906" s="4"/>
      <c r="P906" s="4"/>
    </row>
    <row r="907" spans="9:16" x14ac:dyDescent="0.25">
      <c r="I907" s="4"/>
      <c r="N907" s="5"/>
      <c r="O907" s="4"/>
      <c r="P907" s="4"/>
    </row>
    <row r="908" spans="9:16" x14ac:dyDescent="0.25">
      <c r="I908" s="4"/>
      <c r="N908" s="5"/>
      <c r="O908" s="4"/>
      <c r="P908" s="4"/>
    </row>
    <row r="909" spans="9:16" x14ac:dyDescent="0.25">
      <c r="I909" s="4"/>
      <c r="N909" s="5"/>
      <c r="O909" s="4"/>
      <c r="P909" s="4"/>
    </row>
    <row r="910" spans="9:16" x14ac:dyDescent="0.25">
      <c r="I910" s="4"/>
      <c r="N910" s="5"/>
      <c r="O910" s="4"/>
      <c r="P910" s="4"/>
    </row>
    <row r="911" spans="9:16" x14ac:dyDescent="0.25">
      <c r="I911" s="4"/>
      <c r="N911" s="5"/>
      <c r="O911" s="4"/>
      <c r="P911" s="4"/>
    </row>
    <row r="912" spans="9:16" x14ac:dyDescent="0.25">
      <c r="I912" s="4"/>
      <c r="N912" s="5"/>
      <c r="O912" s="4"/>
      <c r="P912" s="4"/>
    </row>
    <row r="913" spans="9:16" x14ac:dyDescent="0.25">
      <c r="I913" s="4"/>
      <c r="N913" s="5"/>
      <c r="O913" s="4"/>
      <c r="P913" s="4"/>
    </row>
    <row r="914" spans="9:16" x14ac:dyDescent="0.25">
      <c r="I914" s="4"/>
      <c r="N914" s="5"/>
      <c r="O914" s="4"/>
      <c r="P914" s="4"/>
    </row>
    <row r="915" spans="9:16" x14ac:dyDescent="0.25">
      <c r="I915" s="4"/>
      <c r="N915" s="5"/>
      <c r="O915" s="4"/>
      <c r="P915" s="4"/>
    </row>
    <row r="916" spans="9:16" x14ac:dyDescent="0.25">
      <c r="I916" s="4"/>
      <c r="N916" s="5"/>
      <c r="O916" s="4"/>
      <c r="P916" s="4"/>
    </row>
    <row r="917" spans="9:16" x14ac:dyDescent="0.25">
      <c r="I917" s="4"/>
      <c r="N917" s="5"/>
      <c r="O917" s="4"/>
      <c r="P917" s="4"/>
    </row>
    <row r="918" spans="9:16" x14ac:dyDescent="0.25">
      <c r="I918" s="4"/>
      <c r="N918" s="5"/>
      <c r="O918" s="4"/>
      <c r="P918" s="4"/>
    </row>
    <row r="919" spans="9:16" x14ac:dyDescent="0.25">
      <c r="I919" s="4"/>
      <c r="N919" s="5"/>
      <c r="O919" s="4"/>
      <c r="P919" s="4"/>
    </row>
    <row r="920" spans="9:16" x14ac:dyDescent="0.25">
      <c r="I920" s="4"/>
      <c r="N920" s="5"/>
      <c r="O920" s="4"/>
      <c r="P920" s="4"/>
    </row>
    <row r="921" spans="9:16" x14ac:dyDescent="0.25">
      <c r="I921" s="4"/>
      <c r="N921" s="5"/>
      <c r="O921" s="4"/>
      <c r="P921" s="4"/>
    </row>
    <row r="922" spans="9:16" x14ac:dyDescent="0.25">
      <c r="I922" s="4"/>
      <c r="N922" s="5"/>
      <c r="O922" s="4"/>
      <c r="P922" s="4"/>
    </row>
    <row r="923" spans="9:16" x14ac:dyDescent="0.25">
      <c r="I923" s="4"/>
      <c r="N923" s="5"/>
      <c r="O923" s="4"/>
      <c r="P923" s="4"/>
    </row>
    <row r="924" spans="9:16" x14ac:dyDescent="0.25">
      <c r="I924" s="4"/>
      <c r="N924" s="5"/>
      <c r="O924" s="4"/>
      <c r="P924" s="4"/>
    </row>
    <row r="925" spans="9:16" x14ac:dyDescent="0.25">
      <c r="I925" s="4"/>
      <c r="N925" s="5"/>
      <c r="O925" s="4"/>
      <c r="P925" s="4"/>
    </row>
    <row r="926" spans="9:16" x14ac:dyDescent="0.25">
      <c r="I926" s="4"/>
      <c r="N926" s="5"/>
      <c r="O926" s="4"/>
      <c r="P926" s="4"/>
    </row>
    <row r="927" spans="9:16" x14ac:dyDescent="0.25">
      <c r="I927" s="4"/>
      <c r="N927" s="5"/>
      <c r="O927" s="4"/>
      <c r="P927" s="4"/>
    </row>
    <row r="928" spans="9:16" x14ac:dyDescent="0.25">
      <c r="I928" s="4"/>
      <c r="N928" s="5"/>
      <c r="O928" s="4"/>
      <c r="P928" s="4"/>
    </row>
    <row r="929" spans="9:16" x14ac:dyDescent="0.25">
      <c r="I929" s="4"/>
      <c r="N929" s="5"/>
      <c r="O929" s="4"/>
      <c r="P929" s="4"/>
    </row>
    <row r="930" spans="9:16" x14ac:dyDescent="0.25">
      <c r="I930" s="4"/>
      <c r="N930" s="5"/>
      <c r="O930" s="4"/>
      <c r="P930" s="4"/>
    </row>
    <row r="931" spans="9:16" x14ac:dyDescent="0.25">
      <c r="I931" s="4"/>
      <c r="N931" s="5"/>
      <c r="O931" s="4"/>
      <c r="P931" s="4"/>
    </row>
    <row r="932" spans="9:16" x14ac:dyDescent="0.25">
      <c r="I932" s="4"/>
      <c r="N932" s="5"/>
      <c r="O932" s="4"/>
      <c r="P932" s="4"/>
    </row>
    <row r="933" spans="9:16" x14ac:dyDescent="0.25">
      <c r="I933" s="4"/>
      <c r="N933" s="5"/>
      <c r="O933" s="4"/>
      <c r="P933" s="4"/>
    </row>
    <row r="934" spans="9:16" x14ac:dyDescent="0.25">
      <c r="I934" s="4"/>
      <c r="N934" s="5"/>
      <c r="O934" s="4"/>
      <c r="P934" s="4"/>
    </row>
    <row r="935" spans="9:16" x14ac:dyDescent="0.25">
      <c r="I935" s="4"/>
      <c r="N935" s="5"/>
      <c r="O935" s="4"/>
      <c r="P935" s="4"/>
    </row>
    <row r="936" spans="9:16" x14ac:dyDescent="0.25">
      <c r="I936" s="4"/>
      <c r="N936" s="5"/>
      <c r="O936" s="4"/>
      <c r="P936" s="4"/>
    </row>
    <row r="937" spans="9:16" x14ac:dyDescent="0.25">
      <c r="I937" s="4"/>
      <c r="N937" s="5"/>
      <c r="O937" s="4"/>
      <c r="P937" s="4"/>
    </row>
    <row r="938" spans="9:16" x14ac:dyDescent="0.25">
      <c r="I938" s="4"/>
      <c r="N938" s="5"/>
      <c r="O938" s="4"/>
      <c r="P938" s="4"/>
    </row>
    <row r="939" spans="9:16" x14ac:dyDescent="0.25">
      <c r="I939" s="4"/>
      <c r="N939" s="5"/>
      <c r="O939" s="4"/>
      <c r="P939" s="4"/>
    </row>
    <row r="940" spans="9:16" x14ac:dyDescent="0.25">
      <c r="I940" s="4"/>
      <c r="N940" s="5"/>
      <c r="O940" s="4"/>
      <c r="P940" s="4"/>
    </row>
    <row r="941" spans="9:16" x14ac:dyDescent="0.25">
      <c r="I941" s="4"/>
      <c r="N941" s="5"/>
      <c r="O941" s="4"/>
      <c r="P941" s="4"/>
    </row>
    <row r="942" spans="9:16" x14ac:dyDescent="0.25">
      <c r="I942" s="4"/>
      <c r="N942" s="5"/>
      <c r="O942" s="4"/>
      <c r="P942" s="4"/>
    </row>
    <row r="943" spans="9:16" x14ac:dyDescent="0.25">
      <c r="I943" s="4"/>
      <c r="N943" s="5"/>
      <c r="O943" s="4"/>
      <c r="P943" s="4"/>
    </row>
    <row r="944" spans="9:16" x14ac:dyDescent="0.25">
      <c r="I944" s="4"/>
      <c r="N944" s="5"/>
      <c r="O944" s="4"/>
      <c r="P944" s="4"/>
    </row>
    <row r="945" spans="9:16" x14ac:dyDescent="0.25">
      <c r="I945" s="4"/>
      <c r="N945" s="5"/>
      <c r="O945" s="4"/>
      <c r="P945" s="4"/>
    </row>
    <row r="946" spans="9:16" x14ac:dyDescent="0.25">
      <c r="I946" s="4"/>
      <c r="N946" s="5"/>
      <c r="O946" s="4"/>
      <c r="P946" s="4"/>
    </row>
    <row r="947" spans="9:16" x14ac:dyDescent="0.25">
      <c r="I947" s="4"/>
      <c r="N947" s="5"/>
      <c r="O947" s="4"/>
      <c r="P947" s="4"/>
    </row>
    <row r="948" spans="9:16" x14ac:dyDescent="0.25">
      <c r="I948" s="4"/>
      <c r="N948" s="5"/>
      <c r="O948" s="4"/>
      <c r="P948" s="4"/>
    </row>
    <row r="949" spans="9:16" x14ac:dyDescent="0.25">
      <c r="I949" s="4"/>
      <c r="N949" s="5"/>
      <c r="O949" s="4"/>
      <c r="P949" s="4"/>
    </row>
    <row r="950" spans="9:16" x14ac:dyDescent="0.25">
      <c r="I950" s="4"/>
      <c r="N950" s="5"/>
      <c r="O950" s="4"/>
      <c r="P950" s="4"/>
    </row>
    <row r="951" spans="9:16" x14ac:dyDescent="0.25">
      <c r="I951" s="4"/>
      <c r="N951" s="5"/>
      <c r="O951" s="4"/>
      <c r="P951" s="4"/>
    </row>
    <row r="952" spans="9:16" x14ac:dyDescent="0.25">
      <c r="I952" s="4"/>
      <c r="N952" s="5"/>
      <c r="O952" s="4"/>
      <c r="P952" s="4"/>
    </row>
    <row r="953" spans="9:16" x14ac:dyDescent="0.25">
      <c r="I953" s="4"/>
      <c r="N953" s="5"/>
      <c r="O953" s="4"/>
      <c r="P953" s="4"/>
    </row>
    <row r="954" spans="9:16" x14ac:dyDescent="0.25">
      <c r="I954" s="4"/>
      <c r="N954" s="5"/>
      <c r="O954" s="4"/>
      <c r="P954" s="4"/>
    </row>
    <row r="955" spans="9:16" x14ac:dyDescent="0.25">
      <c r="I955" s="4"/>
      <c r="N955" s="5"/>
      <c r="O955" s="4"/>
      <c r="P955" s="4"/>
    </row>
    <row r="956" spans="9:16" x14ac:dyDescent="0.25">
      <c r="I956" s="4"/>
      <c r="N956" s="5"/>
      <c r="O956" s="4"/>
      <c r="P956" s="4"/>
    </row>
    <row r="957" spans="9:16" x14ac:dyDescent="0.25">
      <c r="I957" s="4"/>
      <c r="N957" s="5"/>
      <c r="O957" s="4"/>
      <c r="P957" s="4"/>
    </row>
    <row r="958" spans="9:16" x14ac:dyDescent="0.25">
      <c r="I958" s="4"/>
      <c r="N958" s="5"/>
      <c r="O958" s="4"/>
      <c r="P958" s="4"/>
    </row>
    <row r="959" spans="9:16" x14ac:dyDescent="0.25">
      <c r="I959" s="4"/>
      <c r="N959" s="5"/>
      <c r="O959" s="4"/>
      <c r="P959" s="4"/>
    </row>
    <row r="960" spans="9:16" x14ac:dyDescent="0.25">
      <c r="I960" s="4"/>
      <c r="N960" s="5"/>
      <c r="O960" s="4"/>
      <c r="P960" s="4"/>
    </row>
    <row r="961" spans="9:16" x14ac:dyDescent="0.25">
      <c r="I961" s="4"/>
      <c r="N961" s="5"/>
      <c r="O961" s="4"/>
      <c r="P961" s="4"/>
    </row>
    <row r="962" spans="9:16" x14ac:dyDescent="0.25">
      <c r="I962" s="4"/>
      <c r="N962" s="5"/>
      <c r="O962" s="4"/>
      <c r="P962" s="4"/>
    </row>
    <row r="963" spans="9:16" x14ac:dyDescent="0.25">
      <c r="I963" s="4"/>
      <c r="N963" s="5"/>
      <c r="O963" s="4"/>
      <c r="P963" s="4"/>
    </row>
    <row r="964" spans="9:16" x14ac:dyDescent="0.25">
      <c r="I964" s="4"/>
      <c r="N964" s="5"/>
      <c r="O964" s="4"/>
      <c r="P964" s="4"/>
    </row>
    <row r="965" spans="9:16" x14ac:dyDescent="0.25">
      <c r="I965" s="4"/>
      <c r="N965" s="5"/>
      <c r="O965" s="4"/>
      <c r="P965" s="4"/>
    </row>
    <row r="966" spans="9:16" x14ac:dyDescent="0.25">
      <c r="I966" s="4"/>
      <c r="N966" s="5"/>
      <c r="O966" s="4"/>
      <c r="P966" s="4"/>
    </row>
    <row r="967" spans="9:16" x14ac:dyDescent="0.25">
      <c r="I967" s="4"/>
      <c r="N967" s="5"/>
      <c r="O967" s="4"/>
      <c r="P967" s="4"/>
    </row>
    <row r="968" spans="9:16" x14ac:dyDescent="0.25">
      <c r="I968" s="4"/>
      <c r="N968" s="5"/>
      <c r="O968" s="4"/>
      <c r="P968" s="4"/>
    </row>
    <row r="969" spans="9:16" x14ac:dyDescent="0.25">
      <c r="I969" s="4"/>
      <c r="N969" s="5"/>
      <c r="O969" s="4"/>
      <c r="P969" s="4"/>
    </row>
    <row r="970" spans="9:16" x14ac:dyDescent="0.25">
      <c r="I970" s="4"/>
      <c r="N970" s="5"/>
      <c r="O970" s="4"/>
      <c r="P970" s="4"/>
    </row>
    <row r="971" spans="9:16" x14ac:dyDescent="0.25">
      <c r="I971" s="4"/>
      <c r="N971" s="5"/>
      <c r="O971" s="4"/>
      <c r="P971" s="4"/>
    </row>
    <row r="972" spans="9:16" x14ac:dyDescent="0.25">
      <c r="I972" s="4"/>
      <c r="N972" s="5"/>
      <c r="O972" s="4"/>
      <c r="P972" s="4"/>
    </row>
    <row r="973" spans="9:16" x14ac:dyDescent="0.25">
      <c r="I973" s="4"/>
      <c r="N973" s="5"/>
      <c r="O973" s="4"/>
      <c r="P973" s="4"/>
    </row>
    <row r="974" spans="9:16" x14ac:dyDescent="0.25">
      <c r="I974" s="4"/>
      <c r="N974" s="5"/>
      <c r="O974" s="4"/>
      <c r="P974" s="4"/>
    </row>
    <row r="975" spans="9:16" x14ac:dyDescent="0.25">
      <c r="I975" s="4"/>
      <c r="N975" s="5"/>
      <c r="O975" s="4"/>
      <c r="P975" s="4"/>
    </row>
    <row r="976" spans="9:16" x14ac:dyDescent="0.25">
      <c r="I976" s="4"/>
      <c r="N976" s="5"/>
      <c r="O976" s="4"/>
      <c r="P976" s="4"/>
    </row>
    <row r="977" spans="9:16" x14ac:dyDescent="0.25">
      <c r="I977" s="4"/>
      <c r="N977" s="5"/>
      <c r="O977" s="4"/>
      <c r="P977" s="4"/>
    </row>
    <row r="978" spans="9:16" x14ac:dyDescent="0.25">
      <c r="I978" s="4"/>
      <c r="N978" s="5"/>
      <c r="O978" s="4"/>
      <c r="P978" s="4"/>
    </row>
    <row r="979" spans="9:16" x14ac:dyDescent="0.25">
      <c r="I979" s="4"/>
      <c r="N979" s="5"/>
      <c r="O979" s="4"/>
      <c r="P979" s="4"/>
    </row>
    <row r="980" spans="9:16" x14ac:dyDescent="0.25">
      <c r="I980" s="4"/>
      <c r="N980" s="5"/>
      <c r="O980" s="4"/>
      <c r="P980" s="4"/>
    </row>
    <row r="981" spans="9:16" x14ac:dyDescent="0.25">
      <c r="I981" s="4"/>
      <c r="N981" s="5"/>
      <c r="O981" s="4"/>
      <c r="P981" s="4"/>
    </row>
    <row r="982" spans="9:16" x14ac:dyDescent="0.25">
      <c r="I982" s="4"/>
      <c r="N982" s="5"/>
      <c r="O982" s="4"/>
      <c r="P982" s="4"/>
    </row>
    <row r="983" spans="9:16" x14ac:dyDescent="0.25">
      <c r="I983" s="4"/>
      <c r="N983" s="5"/>
      <c r="O983" s="4"/>
      <c r="P983" s="4"/>
    </row>
    <row r="984" spans="9:16" x14ac:dyDescent="0.25">
      <c r="I984" s="4"/>
      <c r="N984" s="5"/>
      <c r="O984" s="4"/>
      <c r="P984" s="4"/>
    </row>
    <row r="985" spans="9:16" x14ac:dyDescent="0.25">
      <c r="I985" s="4"/>
      <c r="N985" s="5"/>
      <c r="O985" s="4"/>
      <c r="P985" s="4"/>
    </row>
    <row r="986" spans="9:16" x14ac:dyDescent="0.25">
      <c r="I986" s="4"/>
      <c r="N986" s="5"/>
      <c r="O986" s="4"/>
      <c r="P986" s="4"/>
    </row>
    <row r="987" spans="9:16" x14ac:dyDescent="0.25">
      <c r="I987" s="4"/>
      <c r="N987" s="5"/>
      <c r="O987" s="4"/>
      <c r="P987" s="4"/>
    </row>
    <row r="988" spans="9:16" x14ac:dyDescent="0.25">
      <c r="I988" s="4"/>
      <c r="N988" s="5"/>
      <c r="O988" s="4"/>
      <c r="P988" s="4"/>
    </row>
    <row r="989" spans="9:16" x14ac:dyDescent="0.25">
      <c r="I989" s="4"/>
      <c r="N989" s="5"/>
      <c r="O989" s="4"/>
      <c r="P989" s="4"/>
    </row>
    <row r="990" spans="9:16" x14ac:dyDescent="0.25">
      <c r="I990" s="4"/>
      <c r="N990" s="5"/>
      <c r="O990" s="4"/>
      <c r="P990" s="4"/>
    </row>
    <row r="991" spans="9:16" x14ac:dyDescent="0.25">
      <c r="I991" s="4"/>
      <c r="N991" s="5"/>
      <c r="O991" s="4"/>
      <c r="P991" s="4"/>
    </row>
    <row r="992" spans="9:16" x14ac:dyDescent="0.25">
      <c r="I992" s="4"/>
      <c r="N992" s="5"/>
      <c r="O992" s="4"/>
      <c r="P992" s="4"/>
    </row>
    <row r="993" spans="9:16" x14ac:dyDescent="0.25">
      <c r="I993" s="4"/>
      <c r="N993" s="5"/>
      <c r="O993" s="4"/>
      <c r="P993" s="4"/>
    </row>
    <row r="994" spans="9:16" x14ac:dyDescent="0.25">
      <c r="I994" s="4"/>
      <c r="N994" s="5"/>
      <c r="O994" s="4"/>
      <c r="P994" s="4"/>
    </row>
    <row r="995" spans="9:16" x14ac:dyDescent="0.25">
      <c r="I995" s="4"/>
      <c r="N995" s="5"/>
      <c r="O995" s="4"/>
      <c r="P995" s="4"/>
    </row>
    <row r="996" spans="9:16" x14ac:dyDescent="0.25">
      <c r="I996" s="4"/>
      <c r="N996" s="5"/>
      <c r="O996" s="4"/>
      <c r="P996" s="4"/>
    </row>
    <row r="997" spans="9:16" x14ac:dyDescent="0.25">
      <c r="I997" s="4"/>
      <c r="N997" s="5"/>
      <c r="O997" s="4"/>
      <c r="P997" s="4"/>
    </row>
    <row r="998" spans="9:16" x14ac:dyDescent="0.25">
      <c r="I998" s="4"/>
      <c r="N998" s="5"/>
      <c r="O998" s="4"/>
      <c r="P998" s="4"/>
    </row>
    <row r="999" spans="9:16" x14ac:dyDescent="0.25">
      <c r="I999" s="4"/>
      <c r="N999" s="5"/>
      <c r="O999" s="4"/>
      <c r="P999" s="4"/>
    </row>
    <row r="1000" spans="9:16" x14ac:dyDescent="0.25">
      <c r="I1000" s="4"/>
      <c r="N1000" s="5"/>
      <c r="O1000" s="4"/>
      <c r="P1000" s="4"/>
    </row>
    <row r="1001" spans="9:16" x14ac:dyDescent="0.25">
      <c r="I1001" s="4"/>
      <c r="N1001" s="5"/>
      <c r="O1001" s="4"/>
      <c r="P1001" s="4"/>
    </row>
    <row r="1005" spans="9:16" x14ac:dyDescent="0.25">
      <c r="I1005" s="4"/>
    </row>
    <row r="1006" spans="9:16" x14ac:dyDescent="0.25">
      <c r="I1006" s="4"/>
    </row>
    <row r="1007" spans="9:16" x14ac:dyDescent="0.25">
      <c r="I1007" s="4"/>
    </row>
    <row r="1008" spans="9:16" x14ac:dyDescent="0.25">
      <c r="I1008" s="4"/>
    </row>
    <row r="1009" spans="6:9" x14ac:dyDescent="0.25">
      <c r="I1009" s="4"/>
    </row>
    <row r="1010" spans="6:9" x14ac:dyDescent="0.25">
      <c r="I1010" s="4"/>
    </row>
    <row r="1011" spans="6:9" x14ac:dyDescent="0.25">
      <c r="I1011" s="4"/>
    </row>
    <row r="1012" spans="6:9" x14ac:dyDescent="0.25">
      <c r="I1012" s="4"/>
    </row>
    <row r="1013" spans="6:9" x14ac:dyDescent="0.25">
      <c r="I1013" s="4"/>
    </row>
    <row r="1014" spans="6:9" x14ac:dyDescent="0.25">
      <c r="I1014" s="4"/>
    </row>
    <row r="1015" spans="6:9" x14ac:dyDescent="0.25">
      <c r="F1015" t="str">
        <f t="shared" ref="F1015:I1015" si="0">TRIM(F1002)</f>
        <v/>
      </c>
      <c r="G1015" t="str">
        <f t="shared" si="0"/>
        <v/>
      </c>
      <c r="H1015" t="str">
        <f t="shared" si="0"/>
        <v/>
      </c>
      <c r="I1015" t="str">
        <f t="shared" si="0"/>
        <v/>
      </c>
    </row>
  </sheetData>
  <mergeCells count="3">
    <mergeCell ref="A1:D1"/>
    <mergeCell ref="F1:I1"/>
    <mergeCell ref="K1:P1"/>
  </mergeCells>
  <pageMargins left="0.7" right="0.7" top="0.75" bottom="0.75" header="0.3" footer="0.3"/>
  <pageSetup orientation="portrait"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O999"/>
  <sheetViews>
    <sheetView zoomScale="70" zoomScaleNormal="70" workbookViewId="0">
      <pane ySplit="2" topLeftCell="A3" activePane="bottomLeft" state="frozen"/>
      <selection pane="bottomLeft" activeCell="B15" sqref="B15"/>
    </sheetView>
  </sheetViews>
  <sheetFormatPr defaultRowHeight="15" x14ac:dyDescent="0.25"/>
  <cols>
    <col min="1" max="1" width="24" bestFit="1" customWidth="1"/>
    <col min="2" max="2" width="21.28515625" bestFit="1" customWidth="1"/>
    <col min="3" max="3" width="26" bestFit="1" customWidth="1"/>
    <col min="4" max="4" width="15.85546875" bestFit="1" customWidth="1"/>
    <col min="5" max="5" width="24.5703125" bestFit="1" customWidth="1"/>
    <col min="6" max="6" width="18.85546875" bestFit="1" customWidth="1"/>
    <col min="7" max="7" width="23.5703125" bestFit="1" customWidth="1"/>
    <col min="8" max="8" width="19.28515625" bestFit="1" customWidth="1"/>
    <col min="9" max="9" width="16.42578125" style="13" bestFit="1" customWidth="1"/>
    <col min="10" max="10" width="17.5703125" style="4" bestFit="1" customWidth="1"/>
    <col min="11" max="11" width="17.42578125" style="4" bestFit="1" customWidth="1"/>
    <col min="12" max="12" width="27.42578125" bestFit="1" customWidth="1"/>
    <col min="13" max="13" width="23" bestFit="1" customWidth="1"/>
  </cols>
  <sheetData>
    <row r="2" spans="1:13" x14ac:dyDescent="0.25">
      <c r="A2" t="s">
        <v>88</v>
      </c>
      <c r="B2" t="s">
        <v>0</v>
      </c>
      <c r="C2" s="9" t="s">
        <v>1</v>
      </c>
      <c r="D2" s="9" t="s">
        <v>2</v>
      </c>
      <c r="E2" s="9" t="s">
        <v>3</v>
      </c>
      <c r="F2" t="s">
        <v>60</v>
      </c>
      <c r="G2" s="9" t="s">
        <v>61</v>
      </c>
      <c r="H2" s="9" t="s">
        <v>62</v>
      </c>
      <c r="I2" s="13" t="s">
        <v>90</v>
      </c>
      <c r="J2" s="12" t="s">
        <v>63</v>
      </c>
      <c r="K2" s="4" t="s">
        <v>91</v>
      </c>
      <c r="L2" t="s">
        <v>89</v>
      </c>
      <c r="M2" t="s">
        <v>303</v>
      </c>
    </row>
    <row r="3" spans="1:13" x14ac:dyDescent="0.25">
      <c r="A3" t="s">
        <v>92</v>
      </c>
      <c r="B3" t="s">
        <v>28</v>
      </c>
      <c r="C3" t="str">
        <f>VLOOKUP(B3,Table_TechBridge_Task_8_Dataset[#All],2,FALSE)</f>
        <v>Emeka Nwosu</v>
      </c>
      <c r="D3" t="str">
        <f>VLOOKUP(B3,Table_TechBridge_Task_8_Dataset[#All],3,FALSE)</f>
        <v>Enugu</v>
      </c>
      <c r="E3" t="str">
        <f>VLOOKUP(B3,Table_TechBridge_Task_8_Dataset[#All],4,FALSE)</f>
        <v>Corporate</v>
      </c>
      <c r="F3" t="s">
        <v>72</v>
      </c>
      <c r="G3" t="str">
        <f>VLOOKUP(F3,Table_TechBridge_Task_8_Dataset_1[#All],2,FALSE)</f>
        <v>Mouse</v>
      </c>
      <c r="H3" t="str">
        <f>VLOOKUP(F3,Table_TechBridge_Task_8_Dataset_1[#All],3,FALSE)</f>
        <v>Accessories</v>
      </c>
      <c r="I3" s="13">
        <v>2</v>
      </c>
      <c r="J3" s="4">
        <f>VLOOKUP(F3,Table_TechBridge_Task_8_Dataset_1[#All],4,FALSE)</f>
        <v>8000</v>
      </c>
      <c r="K3" s="4">
        <v>0</v>
      </c>
      <c r="L3" s="5" t="s">
        <v>93</v>
      </c>
      <c r="M3" s="4">
        <f t="shared" ref="M3:M65" si="0">(I3*J3)*(1 - K3)</f>
        <v>16000</v>
      </c>
    </row>
    <row r="4" spans="1:13" x14ac:dyDescent="0.25">
      <c r="A4" t="s">
        <v>94</v>
      </c>
      <c r="B4" t="s">
        <v>47</v>
      </c>
      <c r="C4" t="str">
        <f>VLOOKUP(B4,Table_TechBridge_Task_8_Dataset[#All],2,FALSE)</f>
        <v>Ruth Daniel</v>
      </c>
      <c r="D4" t="str">
        <f>VLOOKUP(B4,Table_TechBridge_Task_8_Dataset[#All],3,FALSE)</f>
        <v>Lagos</v>
      </c>
      <c r="E4" t="str">
        <f>VLOOKUP(B4,Table_TechBridge_Task_8_Dataset[#All],4,FALSE)</f>
        <v>Corporate</v>
      </c>
      <c r="F4" t="s">
        <v>80</v>
      </c>
      <c r="G4" t="str">
        <f>VLOOKUP(F4,Table_TechBridge_Task_8_Dataset_1[#All],2,FALSE)</f>
        <v>Desk</v>
      </c>
      <c r="H4" t="str">
        <f>VLOOKUP(F4,Table_TechBridge_Task_8_Dataset_1[#All],3,FALSE)</f>
        <v>Furniture</v>
      </c>
      <c r="I4" s="13">
        <v>3</v>
      </c>
      <c r="J4" s="4">
        <f>VLOOKUP(F4,Table_TechBridge_Task_8_Dataset_1[#All],4,FALSE)</f>
        <v>140000</v>
      </c>
      <c r="K4" s="4">
        <v>0</v>
      </c>
      <c r="L4" s="5" t="s">
        <v>95</v>
      </c>
      <c r="M4" s="4">
        <f t="shared" si="0"/>
        <v>420000</v>
      </c>
    </row>
    <row r="5" spans="1:13" x14ac:dyDescent="0.25">
      <c r="A5" t="s">
        <v>96</v>
      </c>
      <c r="B5" t="s">
        <v>8</v>
      </c>
      <c r="C5" t="str">
        <f>VLOOKUP(B5,Table_TechBridge_Task_8_Dataset[#All],2,FALSE)</f>
        <v>Daniel Okafor</v>
      </c>
      <c r="D5" t="str">
        <f>VLOOKUP(B5,Table_TechBridge_Task_8_Dataset[#All],3,FALSE)</f>
        <v>Abuja</v>
      </c>
      <c r="E5" t="str">
        <f>VLOOKUP(B5,Table_TechBridge_Task_8_Dataset[#All],4,FALSE)</f>
        <v>Corporate</v>
      </c>
      <c r="F5" t="s">
        <v>86</v>
      </c>
      <c r="G5" t="str">
        <f>VLOOKUP(F5,Table_TechBridge_Task_8_Dataset_1[#All],2,FALSE)</f>
        <v>External Drive</v>
      </c>
      <c r="H5" t="str">
        <f>VLOOKUP(F5,Table_TechBridge_Task_8_Dataset_1[#All],3,FALSE)</f>
        <v>Electronics</v>
      </c>
      <c r="I5" s="13">
        <v>4</v>
      </c>
      <c r="J5" s="4">
        <f>VLOOKUP(F5,Table_TechBridge_Task_8_Dataset_1[#All],4,FALSE)</f>
        <v>75000</v>
      </c>
      <c r="K5" s="4">
        <v>0</v>
      </c>
      <c r="L5" s="5" t="s">
        <v>97</v>
      </c>
      <c r="M5" s="4">
        <f t="shared" si="0"/>
        <v>300000</v>
      </c>
    </row>
    <row r="6" spans="1:13" x14ac:dyDescent="0.25">
      <c r="A6" t="s">
        <v>98</v>
      </c>
      <c r="B6" t="s">
        <v>31</v>
      </c>
      <c r="C6" t="str">
        <f>VLOOKUP(B6,Table_TechBridge_Task_8_Dataset[#All],2,FALSE)</f>
        <v>Blessing Ojo</v>
      </c>
      <c r="D6" t="str">
        <f>VLOOKUP(B6,Table_TechBridge_Task_8_Dataset[#All],3,FALSE)</f>
        <v>Lagos</v>
      </c>
      <c r="E6" t="str">
        <f>VLOOKUP(B6,Table_TechBridge_Task_8_Dataset[#All],4,FALSE)</f>
        <v>Wholesale</v>
      </c>
      <c r="F6" t="s">
        <v>69</v>
      </c>
      <c r="G6" t="str">
        <f>VLOOKUP(F6,Table_TechBridge_Task_8_Dataset_1[#All],2,FALSE)</f>
        <v>Keyboard</v>
      </c>
      <c r="H6" t="str">
        <f>VLOOKUP(F6,Table_TechBridge_Task_8_Dataset_1[#All],3,FALSE)</f>
        <v>Accessories</v>
      </c>
      <c r="I6" s="13">
        <v>5</v>
      </c>
      <c r="J6" s="4">
        <f>VLOOKUP(F6,Table_TechBridge_Task_8_Dataset_1[#All],4,FALSE)</f>
        <v>15000</v>
      </c>
      <c r="K6" s="4">
        <v>0</v>
      </c>
      <c r="L6" s="5" t="s">
        <v>99</v>
      </c>
      <c r="M6" s="4">
        <f t="shared" si="0"/>
        <v>75000</v>
      </c>
    </row>
    <row r="7" spans="1:13" x14ac:dyDescent="0.25">
      <c r="A7" t="s">
        <v>100</v>
      </c>
      <c r="B7" t="s">
        <v>49</v>
      </c>
      <c r="C7" t="str">
        <f>VLOOKUP(B7,Table_TechBridge_Task_8_Dataset[#All],2,FALSE)</f>
        <v>Peter Williams</v>
      </c>
      <c r="D7" t="str">
        <f>VLOOKUP(B7,Table_TechBridge_Task_8_Dataset[#All],3,FALSE)</f>
        <v>Abeokuta</v>
      </c>
      <c r="E7" t="str">
        <f>VLOOKUP(B7,Table_TechBridge_Task_8_Dataset[#All],4,FALSE)</f>
        <v>Retail</v>
      </c>
      <c r="F7" t="s">
        <v>77</v>
      </c>
      <c r="G7" t="str">
        <f>VLOOKUP(F7,Table_TechBridge_Task_8_Dataset_1[#All],2,FALSE)</f>
        <v>Office Chair</v>
      </c>
      <c r="H7" t="str">
        <f>VLOOKUP(F7,Table_TechBridge_Task_8_Dataset_1[#All],3,FALSE)</f>
        <v>Furniture</v>
      </c>
      <c r="I7" s="13">
        <v>1</v>
      </c>
      <c r="J7" s="4">
        <f>VLOOKUP(F7,Table_TechBridge_Task_8_Dataset_1[#All],4,FALSE)</f>
        <v>95000</v>
      </c>
      <c r="K7" s="4">
        <v>0</v>
      </c>
      <c r="L7" s="5" t="s">
        <v>101</v>
      </c>
      <c r="M7" s="4">
        <f t="shared" si="0"/>
        <v>95000</v>
      </c>
    </row>
    <row r="8" spans="1:13" x14ac:dyDescent="0.25">
      <c r="A8" t="s">
        <v>102</v>
      </c>
      <c r="B8" t="s">
        <v>12</v>
      </c>
      <c r="C8" t="str">
        <f>VLOOKUP(B8,Table_TechBridge_Task_8_Dataset[#All],2,FALSE)</f>
        <v>Mariam Yusuf</v>
      </c>
      <c r="D8" t="str">
        <f>VLOOKUP(B8,Table_TechBridge_Task_8_Dataset[#All],3,FALSE)</f>
        <v>Kano</v>
      </c>
      <c r="E8" t="str">
        <f>VLOOKUP(B8,Table_TechBridge_Task_8_Dataset[#All],4,FALSE)</f>
        <v>Retail</v>
      </c>
      <c r="F8" t="s">
        <v>84</v>
      </c>
      <c r="G8" t="str">
        <f>VLOOKUP(F8,Table_TechBridge_Task_8_Dataset_1[#All],2,FALSE)</f>
        <v>Tablet</v>
      </c>
      <c r="H8" t="str">
        <f>VLOOKUP(F8,Table_TechBridge_Task_8_Dataset_1[#All],3,FALSE)</f>
        <v>Electronics</v>
      </c>
      <c r="I8" s="13">
        <v>2</v>
      </c>
      <c r="J8" s="4">
        <f>VLOOKUP(F8,Table_TechBridge_Task_8_Dataset_1[#All],4,FALSE)</f>
        <v>220000</v>
      </c>
      <c r="K8" s="4">
        <v>0</v>
      </c>
      <c r="L8" s="5" t="s">
        <v>103</v>
      </c>
      <c r="M8" s="4">
        <f t="shared" si="0"/>
        <v>440000</v>
      </c>
    </row>
    <row r="9" spans="1:13" x14ac:dyDescent="0.25">
      <c r="A9" t="s">
        <v>104</v>
      </c>
      <c r="B9" t="s">
        <v>33</v>
      </c>
      <c r="C9" t="str">
        <f>VLOOKUP(B9,Table_TechBridge_Task_8_Dataset[#All],2,FALSE)</f>
        <v>Ibrahim Sani</v>
      </c>
      <c r="D9" t="str">
        <f>VLOOKUP(B9,Table_TechBridge_Task_8_Dataset[#All],3,FALSE)</f>
        <v>Abuja</v>
      </c>
      <c r="E9" t="str">
        <f>VLOOKUP(B9,Table_TechBridge_Task_8_Dataset[#All],4,FALSE)</f>
        <v>Retail</v>
      </c>
      <c r="F9" t="s">
        <v>67</v>
      </c>
      <c r="G9" t="str">
        <f>VLOOKUP(F9,Table_TechBridge_Task_8_Dataset_1[#All],2,FALSE)</f>
        <v>Monitor</v>
      </c>
      <c r="H9" t="str">
        <f>VLOOKUP(F9,Table_TechBridge_Task_8_Dataset_1[#All],3,FALSE)</f>
        <v>Electronics</v>
      </c>
      <c r="I9" s="13">
        <v>3</v>
      </c>
      <c r="J9" s="4">
        <f>VLOOKUP(F9,Table_TechBridge_Task_8_Dataset_1[#All],4,FALSE)</f>
        <v>180000</v>
      </c>
      <c r="K9" s="4">
        <v>0.05</v>
      </c>
      <c r="L9" s="5" t="s">
        <v>105</v>
      </c>
      <c r="M9" s="4">
        <f t="shared" si="0"/>
        <v>513000</v>
      </c>
    </row>
    <row r="10" spans="1:13" x14ac:dyDescent="0.25">
      <c r="A10" t="s">
        <v>106</v>
      </c>
      <c r="B10" t="s">
        <v>52</v>
      </c>
      <c r="C10" t="str">
        <f>VLOOKUP(B10,Table_TechBridge_Task_8_Dataset[#All],2,FALSE)</f>
        <v>Hauwa Ali</v>
      </c>
      <c r="D10" t="str">
        <f>VLOOKUP(B10,Table_TechBridge_Task_8_Dataset[#All],3,FALSE)</f>
        <v>Kano</v>
      </c>
      <c r="E10" t="str">
        <f>VLOOKUP(B10,Table_TechBridge_Task_8_Dataset[#All],4,FALSE)</f>
        <v>Corporate</v>
      </c>
      <c r="F10" t="s">
        <v>74</v>
      </c>
      <c r="G10" t="str">
        <f>VLOOKUP(F10,Table_TechBridge_Task_8_Dataset_1[#All],2,FALSE)</f>
        <v>Printer</v>
      </c>
      <c r="H10" t="str">
        <f>VLOOKUP(F10,Table_TechBridge_Task_8_Dataset_1[#All],3,FALSE)</f>
        <v>Office Equipment</v>
      </c>
      <c r="I10" s="13">
        <v>4</v>
      </c>
      <c r="J10" s="4">
        <f>VLOOKUP(F10,Table_TechBridge_Task_8_Dataset_1[#All],4,FALSE)</f>
        <v>120000</v>
      </c>
      <c r="K10" s="4">
        <v>0</v>
      </c>
      <c r="L10" s="5" t="s">
        <v>107</v>
      </c>
      <c r="M10" s="4">
        <f t="shared" si="0"/>
        <v>480000</v>
      </c>
    </row>
    <row r="11" spans="1:13" x14ac:dyDescent="0.25">
      <c r="A11" t="s">
        <v>108</v>
      </c>
      <c r="B11" t="s">
        <v>15</v>
      </c>
      <c r="C11" t="str">
        <f>VLOOKUP(B11,Table_TechBridge_Task_8_Dataset[#All],2,FALSE)</f>
        <v>Chinedu Obi</v>
      </c>
      <c r="D11" t="str">
        <f>VLOOKUP(B11,Table_TechBridge_Task_8_Dataset[#All],3,FALSE)</f>
        <v>Port Harcourt</v>
      </c>
      <c r="E11" t="str">
        <f>VLOOKUP(B11,Table_TechBridge_Task_8_Dataset[#All],4,FALSE)</f>
        <v>Corporate</v>
      </c>
      <c r="F11" t="s">
        <v>82</v>
      </c>
      <c r="G11" t="str">
        <f>VLOOKUP(F11,Table_TechBridge_Task_8_Dataset_1[#All],2,FALSE)</f>
        <v>Headset</v>
      </c>
      <c r="H11" t="str">
        <f>VLOOKUP(F11,Table_TechBridge_Task_8_Dataset_1[#All],3,FALSE)</f>
        <v>Accessories</v>
      </c>
      <c r="I11" s="13">
        <v>5</v>
      </c>
      <c r="J11" s="4">
        <f>VLOOKUP(F11,Table_TechBridge_Task_8_Dataset_1[#All],4,FALSE)</f>
        <v>25000</v>
      </c>
      <c r="K11" s="4">
        <v>0</v>
      </c>
      <c r="L11" s="5" t="s">
        <v>109</v>
      </c>
      <c r="M11" s="4">
        <f t="shared" si="0"/>
        <v>125000</v>
      </c>
    </row>
    <row r="12" spans="1:13" x14ac:dyDescent="0.25">
      <c r="A12" t="s">
        <v>110</v>
      </c>
      <c r="B12" t="s">
        <v>302</v>
      </c>
      <c r="C12" s="2" t="s">
        <v>34</v>
      </c>
      <c r="D12" s="2" t="s">
        <v>10</v>
      </c>
      <c r="E12" s="2" t="s">
        <v>7</v>
      </c>
      <c r="F12" t="s">
        <v>64</v>
      </c>
      <c r="G12" t="str">
        <f>VLOOKUP(F12,Table_TechBridge_Task_8_Dataset_1[#All],2,FALSE)</f>
        <v>Laptop</v>
      </c>
      <c r="H12" t="str">
        <f>VLOOKUP(F12,Table_TechBridge_Task_8_Dataset_1[#All],3,FALSE)</f>
        <v>Electronics</v>
      </c>
      <c r="I12" s="13">
        <v>1</v>
      </c>
      <c r="J12" s="4">
        <f>VLOOKUP(F12,Table_TechBridge_Task_8_Dataset_1[#All],4,FALSE)</f>
        <v>450000</v>
      </c>
      <c r="K12" s="4">
        <v>0</v>
      </c>
      <c r="L12" s="5" t="s">
        <v>112</v>
      </c>
      <c r="M12" s="4">
        <f t="shared" si="0"/>
        <v>450000</v>
      </c>
    </row>
    <row r="13" spans="1:13" x14ac:dyDescent="0.25">
      <c r="A13" t="s">
        <v>113</v>
      </c>
      <c r="B13" t="s">
        <v>54</v>
      </c>
      <c r="C13" t="str">
        <f>VLOOKUP(B13,Table_TechBridge_Task_8_Dataset[#All],2,FALSE)</f>
        <v>Kelvin George</v>
      </c>
      <c r="D13" t="str">
        <f>VLOOKUP(B13,Table_TechBridge_Task_8_Dataset[#All],3,FALSE)</f>
        <v>Port Harcourt</v>
      </c>
      <c r="E13" t="str">
        <f>VLOOKUP(B13,Table_TechBridge_Task_8_Dataset[#All],4,FALSE)</f>
        <v>Retail</v>
      </c>
      <c r="F13" t="s">
        <v>72</v>
      </c>
      <c r="G13" t="str">
        <f>VLOOKUP(F13,Table_TechBridge_Task_8_Dataset_1[#All],2,FALSE)</f>
        <v>Mouse</v>
      </c>
      <c r="H13" t="str">
        <f>VLOOKUP(F13,Table_TechBridge_Task_8_Dataset_1[#All],3,FALSE)</f>
        <v>Accessories</v>
      </c>
      <c r="I13" s="13">
        <v>2</v>
      </c>
      <c r="J13" s="4">
        <f>VLOOKUP(F13,Table_TechBridge_Task_8_Dataset_1[#All],4,FALSE)</f>
        <v>8000</v>
      </c>
      <c r="K13" s="4">
        <v>0.1</v>
      </c>
      <c r="L13" s="5" t="s">
        <v>114</v>
      </c>
      <c r="M13" s="4">
        <f t="shared" si="0"/>
        <v>14400</v>
      </c>
    </row>
    <row r="14" spans="1:13" x14ac:dyDescent="0.25">
      <c r="A14" t="s">
        <v>115</v>
      </c>
      <c r="B14" t="s">
        <v>18</v>
      </c>
      <c r="C14" t="str">
        <f>VLOOKUP(B14,Table_TechBridge_Task_8_Dataset[#All],2,FALSE)</f>
        <v>Grace Eze</v>
      </c>
      <c r="D14" t="str">
        <f>VLOOKUP(B14,Table_TechBridge_Task_8_Dataset[#All],3,FALSE)</f>
        <v>Benin City</v>
      </c>
      <c r="E14" t="str">
        <f>VLOOKUP(B14,Table_TechBridge_Task_8_Dataset[#All],4,FALSE)</f>
        <v>Retail</v>
      </c>
      <c r="F14" t="s">
        <v>80</v>
      </c>
      <c r="G14" t="str">
        <f>VLOOKUP(F14,Table_TechBridge_Task_8_Dataset_1[#All],2,FALSE)</f>
        <v>Desk</v>
      </c>
      <c r="H14" t="str">
        <f>VLOOKUP(F14,Table_TechBridge_Task_8_Dataset_1[#All],3,FALSE)</f>
        <v>Furniture</v>
      </c>
      <c r="I14" s="13">
        <v>3</v>
      </c>
      <c r="J14" s="4">
        <f>VLOOKUP(F14,Table_TechBridge_Task_8_Dataset_1[#All],4,FALSE)</f>
        <v>140000</v>
      </c>
      <c r="K14" s="4">
        <v>0</v>
      </c>
      <c r="L14" s="5" t="s">
        <v>116</v>
      </c>
      <c r="M14" s="4">
        <f t="shared" si="0"/>
        <v>420000</v>
      </c>
    </row>
    <row r="15" spans="1:13" x14ac:dyDescent="0.25">
      <c r="A15" t="s">
        <v>117</v>
      </c>
      <c r="B15" t="s">
        <v>38</v>
      </c>
      <c r="C15" t="str">
        <f>VLOOKUP(B15,Table_TechBridge_Task_8_Dataset[#All],2,FALSE)</f>
        <v>David Umeh</v>
      </c>
      <c r="D15" t="str">
        <f>VLOOKUP(B15,Table_TechBridge_Task_8_Dataset[#All],3,FALSE)</f>
        <v>Asaba</v>
      </c>
      <c r="E15" t="str">
        <f>VLOOKUP(B15,Table_TechBridge_Task_8_Dataset[#All],4,FALSE)</f>
        <v>Corporate</v>
      </c>
      <c r="F15" t="s">
        <v>86</v>
      </c>
      <c r="G15" t="str">
        <f>VLOOKUP(F15,Table_TechBridge_Task_8_Dataset_1[#All],2,FALSE)</f>
        <v>External Drive</v>
      </c>
      <c r="H15" t="str">
        <f>VLOOKUP(F15,Table_TechBridge_Task_8_Dataset_1[#All],3,FALSE)</f>
        <v>Electronics</v>
      </c>
      <c r="I15" s="13">
        <v>4</v>
      </c>
      <c r="J15" s="4">
        <f>VLOOKUP(F15,Table_TechBridge_Task_8_Dataset_1[#All],4,FALSE)</f>
        <v>75000</v>
      </c>
      <c r="K15" s="4">
        <v>0</v>
      </c>
      <c r="L15" s="5" t="s">
        <v>118</v>
      </c>
      <c r="M15" s="4">
        <f t="shared" si="0"/>
        <v>300000</v>
      </c>
    </row>
    <row r="16" spans="1:13" x14ac:dyDescent="0.25">
      <c r="A16" t="s">
        <v>119</v>
      </c>
      <c r="B16" t="s">
        <v>56</v>
      </c>
      <c r="C16" t="str">
        <f>VLOOKUP(B16,Table_TechBridge_Task_8_Dataset[#All],2,FALSE)</f>
        <v>Mercy John</v>
      </c>
      <c r="D16" t="str">
        <f>VLOOKUP(B16,Table_TechBridge_Task_8_Dataset[#All],3,FALSE)</f>
        <v>Benin City</v>
      </c>
      <c r="E16" t="str">
        <f>VLOOKUP(B16,Table_TechBridge_Task_8_Dataset[#All],4,FALSE)</f>
        <v>Wholesale</v>
      </c>
      <c r="F16" t="s">
        <v>69</v>
      </c>
      <c r="G16" t="str">
        <f>VLOOKUP(F16,Table_TechBridge_Task_8_Dataset_1[#All],2,FALSE)</f>
        <v>Keyboard</v>
      </c>
      <c r="H16" t="str">
        <f>VLOOKUP(F16,Table_TechBridge_Task_8_Dataset_1[#All],3,FALSE)</f>
        <v>Accessories</v>
      </c>
      <c r="I16" s="13">
        <v>5</v>
      </c>
      <c r="J16" s="4">
        <f>VLOOKUP(F16,Table_TechBridge_Task_8_Dataset_1[#All],4,FALSE)</f>
        <v>15000</v>
      </c>
      <c r="K16" s="4">
        <v>0.05</v>
      </c>
      <c r="L16" s="5" t="s">
        <v>120</v>
      </c>
      <c r="M16" s="4">
        <f t="shared" si="0"/>
        <v>71250</v>
      </c>
    </row>
    <row r="17" spans="1:13" x14ac:dyDescent="0.25">
      <c r="A17" t="s">
        <v>121</v>
      </c>
      <c r="B17" t="s">
        <v>21</v>
      </c>
      <c r="C17" t="str">
        <f>VLOOKUP(B17,Table_TechBridge_Task_8_Dataset[#All],2,FALSE)</f>
        <v>Samuel Adeyemi</v>
      </c>
      <c r="D17" t="str">
        <f>VLOOKUP(B17,Table_TechBridge_Task_8_Dataset[#All],3,FALSE)</f>
        <v>Ibadan</v>
      </c>
      <c r="E17" t="str">
        <f>VLOOKUP(B17,Table_TechBridge_Task_8_Dataset[#All],4,FALSE)</f>
        <v>Wholesale</v>
      </c>
      <c r="F17" t="s">
        <v>77</v>
      </c>
      <c r="G17" t="str">
        <f>VLOOKUP(F17,Table_TechBridge_Task_8_Dataset_1[#All],2,FALSE)</f>
        <v>Office Chair</v>
      </c>
      <c r="H17" t="str">
        <f>VLOOKUP(F17,Table_TechBridge_Task_8_Dataset_1[#All],3,FALSE)</f>
        <v>Furniture</v>
      </c>
      <c r="I17" s="13">
        <v>1</v>
      </c>
      <c r="J17" s="4">
        <f>VLOOKUP(F17,Table_TechBridge_Task_8_Dataset_1[#All],4,FALSE)</f>
        <v>95000</v>
      </c>
      <c r="K17" s="4">
        <v>0</v>
      </c>
      <c r="L17" s="5" t="s">
        <v>122</v>
      </c>
      <c r="M17" s="4">
        <f t="shared" si="0"/>
        <v>95000</v>
      </c>
    </row>
    <row r="18" spans="1:13" x14ac:dyDescent="0.25">
      <c r="A18" t="s">
        <v>123</v>
      </c>
      <c r="B18" t="s">
        <v>41</v>
      </c>
      <c r="C18" t="str">
        <f>VLOOKUP(B18,Table_TechBridge_Task_8_Dataset[#All],2,FALSE)</f>
        <v>Joy Akpan</v>
      </c>
      <c r="D18" t="str">
        <f>VLOOKUP(B18,Table_TechBridge_Task_8_Dataset[#All],3,FALSE)</f>
        <v>Uyo</v>
      </c>
      <c r="E18" t="str">
        <f>VLOOKUP(B18,Table_TechBridge_Task_8_Dataset[#All],4,FALSE)</f>
        <v>Retail</v>
      </c>
      <c r="F18" t="s">
        <v>84</v>
      </c>
      <c r="G18" t="str">
        <f>VLOOKUP(F18,Table_TechBridge_Task_8_Dataset_1[#All],2,FALSE)</f>
        <v>Tablet</v>
      </c>
      <c r="H18" t="str">
        <f>VLOOKUP(F18,Table_TechBridge_Task_8_Dataset_1[#All],3,FALSE)</f>
        <v>Electronics</v>
      </c>
      <c r="I18" s="13">
        <v>2</v>
      </c>
      <c r="J18" s="4">
        <f>VLOOKUP(F18,Table_TechBridge_Task_8_Dataset_1[#All],4,FALSE)</f>
        <v>220000</v>
      </c>
      <c r="K18" s="4">
        <v>0</v>
      </c>
      <c r="L18" s="5" t="s">
        <v>124</v>
      </c>
      <c r="M18" s="4">
        <f t="shared" si="0"/>
        <v>440000</v>
      </c>
    </row>
    <row r="19" spans="1:13" x14ac:dyDescent="0.25">
      <c r="A19" t="s">
        <v>125</v>
      </c>
      <c r="B19" t="s">
        <v>58</v>
      </c>
      <c r="C19" t="str">
        <f>VLOOKUP(B19,Table_TechBridge_Task_8_Dataset[#All],2,FALSE)</f>
        <v>Tunde Adebayo</v>
      </c>
      <c r="D19" t="str">
        <f>VLOOKUP(B19,Table_TechBridge_Task_8_Dataset[#All],3,FALSE)</f>
        <v>Ibadan</v>
      </c>
      <c r="E19" t="str">
        <f>VLOOKUP(B19,Table_TechBridge_Task_8_Dataset[#All],4,FALSE)</f>
        <v>Corporate</v>
      </c>
      <c r="F19" t="s">
        <v>67</v>
      </c>
      <c r="G19" t="str">
        <f>VLOOKUP(F19,Table_TechBridge_Task_8_Dataset_1[#All],2,FALSE)</f>
        <v>Monitor</v>
      </c>
      <c r="H19" t="str">
        <f>VLOOKUP(F19,Table_TechBridge_Task_8_Dataset_1[#All],3,FALSE)</f>
        <v>Electronics</v>
      </c>
      <c r="I19" s="13">
        <v>3</v>
      </c>
      <c r="J19" s="4">
        <f>VLOOKUP(F19,Table_TechBridge_Task_8_Dataset_1[#All],4,FALSE)</f>
        <v>180000</v>
      </c>
      <c r="K19" s="4">
        <v>0</v>
      </c>
      <c r="L19" s="5" t="s">
        <v>126</v>
      </c>
      <c r="M19" s="4">
        <f t="shared" si="0"/>
        <v>540000</v>
      </c>
    </row>
    <row r="20" spans="1:13" x14ac:dyDescent="0.25">
      <c r="A20" t="s">
        <v>127</v>
      </c>
      <c r="B20" t="s">
        <v>25</v>
      </c>
      <c r="C20" t="str">
        <f>VLOOKUP(B20,Table_TechBridge_Task_8_Dataset[#All],2,FALSE)</f>
        <v>Fatima Musa</v>
      </c>
      <c r="D20" t="str">
        <f>VLOOKUP(B20,Table_TechBridge_Task_8_Dataset[#All],3,FALSE)</f>
        <v>Kaduna</v>
      </c>
      <c r="E20" t="str">
        <f>VLOOKUP(B20,Table_TechBridge_Task_8_Dataset[#All],4,FALSE)</f>
        <v>Retail</v>
      </c>
      <c r="F20" t="s">
        <v>74</v>
      </c>
      <c r="G20" t="str">
        <f>VLOOKUP(F20,Table_TechBridge_Task_8_Dataset_1[#All],2,FALSE)</f>
        <v>Printer</v>
      </c>
      <c r="H20" t="str">
        <f>VLOOKUP(F20,Table_TechBridge_Task_8_Dataset_1[#All],3,FALSE)</f>
        <v>Office Equipment</v>
      </c>
      <c r="I20" s="13">
        <v>4</v>
      </c>
      <c r="J20" s="4">
        <f>VLOOKUP(F20,Table_TechBridge_Task_8_Dataset_1[#All],4,FALSE)</f>
        <v>120000</v>
      </c>
      <c r="K20" s="4">
        <v>0</v>
      </c>
      <c r="L20" s="5" t="s">
        <v>128</v>
      </c>
      <c r="M20" s="4">
        <f t="shared" si="0"/>
        <v>480000</v>
      </c>
    </row>
    <row r="21" spans="1:13" x14ac:dyDescent="0.25">
      <c r="A21" t="s">
        <v>129</v>
      </c>
      <c r="B21" t="s">
        <v>44</v>
      </c>
      <c r="C21" t="str">
        <f>VLOOKUP(B21,Table_TechBridge_Task_8_Dataset[#All],2,FALSE)</f>
        <v>Michael Joseph</v>
      </c>
      <c r="D21" t="str">
        <f>VLOOKUP(B21,Table_TechBridge_Task_8_Dataset[#All],3,FALSE)</f>
        <v>Calabar</v>
      </c>
      <c r="E21" t="str">
        <f>VLOOKUP(B21,Table_TechBridge_Task_8_Dataset[#All],4,FALSE)</f>
        <v>Wholesale</v>
      </c>
      <c r="F21" t="s">
        <v>82</v>
      </c>
      <c r="G21" t="str">
        <f>VLOOKUP(F21,Table_TechBridge_Task_8_Dataset_1[#All],2,FALSE)</f>
        <v>Headset</v>
      </c>
      <c r="H21" t="str">
        <f>VLOOKUP(F21,Table_TechBridge_Task_8_Dataset_1[#All],3,FALSE)</f>
        <v>Accessories</v>
      </c>
      <c r="I21" s="13">
        <v>5</v>
      </c>
      <c r="J21" s="4">
        <f>VLOOKUP(F21,Table_TechBridge_Task_8_Dataset_1[#All],4,FALSE)</f>
        <v>25000</v>
      </c>
      <c r="K21" s="4">
        <v>0</v>
      </c>
      <c r="L21" s="5" t="s">
        <v>130</v>
      </c>
      <c r="M21" s="4">
        <f t="shared" si="0"/>
        <v>125000</v>
      </c>
    </row>
    <row r="22" spans="1:13" x14ac:dyDescent="0.25">
      <c r="A22" t="s">
        <v>131</v>
      </c>
      <c r="B22" t="s">
        <v>4</v>
      </c>
      <c r="C22" t="str">
        <f>VLOOKUP(B22,Table_TechBridge_Task_8_Dataset[#All],2,FALSE)</f>
        <v>Aisha Bello</v>
      </c>
      <c r="D22" t="str">
        <f>VLOOKUP(B22,Table_TechBridge_Task_8_Dataset[#All],3,FALSE)</f>
        <v>Lagos</v>
      </c>
      <c r="E22" t="str">
        <f>VLOOKUP(B22,Table_TechBridge_Task_8_Dataset[#All],4,FALSE)</f>
        <v>Retail</v>
      </c>
      <c r="F22" t="s">
        <v>64</v>
      </c>
      <c r="G22" t="str">
        <f>VLOOKUP(F22,Table_TechBridge_Task_8_Dataset_1[#All],2,FALSE)</f>
        <v>Laptop</v>
      </c>
      <c r="H22" t="str">
        <f>VLOOKUP(F22,Table_TechBridge_Task_8_Dataset_1[#All],3,FALSE)</f>
        <v>Electronics</v>
      </c>
      <c r="I22" s="13">
        <v>1</v>
      </c>
      <c r="J22" s="4">
        <f>VLOOKUP(F22,Table_TechBridge_Task_8_Dataset_1[#All],4,FALSE)</f>
        <v>450000</v>
      </c>
      <c r="K22" s="4">
        <v>0</v>
      </c>
      <c r="L22" s="5" t="s">
        <v>132</v>
      </c>
      <c r="M22" s="4">
        <f t="shared" si="0"/>
        <v>450000</v>
      </c>
    </row>
    <row r="23" spans="1:13" x14ac:dyDescent="0.25">
      <c r="A23" t="s">
        <v>133</v>
      </c>
      <c r="B23" t="s">
        <v>28</v>
      </c>
      <c r="C23" t="str">
        <f>VLOOKUP(B23,Table_TechBridge_Task_8_Dataset[#All],2,FALSE)</f>
        <v>Emeka Nwosu</v>
      </c>
      <c r="D23" t="str">
        <f>VLOOKUP(B23,Table_TechBridge_Task_8_Dataset[#All],3,FALSE)</f>
        <v>Enugu</v>
      </c>
      <c r="E23" t="str">
        <f>VLOOKUP(B23,Table_TechBridge_Task_8_Dataset[#All],4,FALSE)</f>
        <v>Corporate</v>
      </c>
      <c r="F23" t="s">
        <v>72</v>
      </c>
      <c r="G23" t="str">
        <f>VLOOKUP(F23,Table_TechBridge_Task_8_Dataset_1[#All],2,FALSE)</f>
        <v>Mouse</v>
      </c>
      <c r="H23" t="str">
        <f>VLOOKUP(F23,Table_TechBridge_Task_8_Dataset_1[#All],3,FALSE)</f>
        <v>Accessories</v>
      </c>
      <c r="I23" s="13">
        <v>2</v>
      </c>
      <c r="J23" s="4">
        <f>VLOOKUP(F23,Table_TechBridge_Task_8_Dataset_1[#All],4,FALSE)</f>
        <v>8000</v>
      </c>
      <c r="K23" s="4">
        <v>0.05</v>
      </c>
      <c r="L23" s="5" t="s">
        <v>134</v>
      </c>
      <c r="M23" s="4">
        <f t="shared" si="0"/>
        <v>15200</v>
      </c>
    </row>
    <row r="24" spans="1:13" x14ac:dyDescent="0.25">
      <c r="A24" t="s">
        <v>135</v>
      </c>
      <c r="B24" t="s">
        <v>47</v>
      </c>
      <c r="C24" t="str">
        <f>VLOOKUP(B24,Table_TechBridge_Task_8_Dataset[#All],2,FALSE)</f>
        <v>Ruth Daniel</v>
      </c>
      <c r="D24" t="str">
        <f>VLOOKUP(B24,Table_TechBridge_Task_8_Dataset[#All],3,FALSE)</f>
        <v>Lagos</v>
      </c>
      <c r="E24" t="str">
        <f>VLOOKUP(B24,Table_TechBridge_Task_8_Dataset[#All],4,FALSE)</f>
        <v>Corporate</v>
      </c>
      <c r="F24" t="s">
        <v>80</v>
      </c>
      <c r="G24" t="str">
        <f>VLOOKUP(F24,Table_TechBridge_Task_8_Dataset_1[#All],2,FALSE)</f>
        <v>Desk</v>
      </c>
      <c r="H24" t="str">
        <f>VLOOKUP(F24,Table_TechBridge_Task_8_Dataset_1[#All],3,FALSE)</f>
        <v>Furniture</v>
      </c>
      <c r="I24" s="13">
        <v>3</v>
      </c>
      <c r="J24" s="4">
        <f>VLOOKUP(F24,Table_TechBridge_Task_8_Dataset_1[#All],4,FALSE)</f>
        <v>140000</v>
      </c>
      <c r="K24" s="4">
        <v>0.1</v>
      </c>
      <c r="L24" s="5" t="s">
        <v>136</v>
      </c>
      <c r="M24" s="4">
        <f t="shared" si="0"/>
        <v>378000</v>
      </c>
    </row>
    <row r="25" spans="1:13" x14ac:dyDescent="0.25">
      <c r="A25" t="s">
        <v>137</v>
      </c>
      <c r="B25" t="s">
        <v>8</v>
      </c>
      <c r="C25" t="str">
        <f>VLOOKUP(B25,Table_TechBridge_Task_8_Dataset[#All],2,FALSE)</f>
        <v>Daniel Okafor</v>
      </c>
      <c r="D25" t="str">
        <f>VLOOKUP(B25,Table_TechBridge_Task_8_Dataset[#All],3,FALSE)</f>
        <v>Abuja</v>
      </c>
      <c r="E25" t="str">
        <f>VLOOKUP(B25,Table_TechBridge_Task_8_Dataset[#All],4,FALSE)</f>
        <v>Corporate</v>
      </c>
      <c r="F25" t="s">
        <v>86</v>
      </c>
      <c r="G25" t="str">
        <f>VLOOKUP(F25,Table_TechBridge_Task_8_Dataset_1[#All],2,FALSE)</f>
        <v>External Drive</v>
      </c>
      <c r="H25" t="str">
        <f>VLOOKUP(F25,Table_TechBridge_Task_8_Dataset_1[#All],3,FALSE)</f>
        <v>Electronics</v>
      </c>
      <c r="I25" s="13">
        <v>4</v>
      </c>
      <c r="J25" s="4">
        <f>VLOOKUP(F25,Table_TechBridge_Task_8_Dataset_1[#All],4,FALSE)</f>
        <v>75000</v>
      </c>
      <c r="K25" s="4">
        <v>0</v>
      </c>
      <c r="L25" s="5" t="s">
        <v>138</v>
      </c>
      <c r="M25" s="4">
        <f t="shared" si="0"/>
        <v>300000</v>
      </c>
    </row>
    <row r="26" spans="1:13" x14ac:dyDescent="0.25">
      <c r="A26" t="s">
        <v>139</v>
      </c>
      <c r="B26" t="s">
        <v>31</v>
      </c>
      <c r="C26" t="str">
        <f>VLOOKUP(B26,Table_TechBridge_Task_8_Dataset[#All],2,FALSE)</f>
        <v>Blessing Ojo</v>
      </c>
      <c r="D26" t="str">
        <f>VLOOKUP(B26,Table_TechBridge_Task_8_Dataset[#All],3,FALSE)</f>
        <v>Lagos</v>
      </c>
      <c r="E26" t="str">
        <f>VLOOKUP(B26,Table_TechBridge_Task_8_Dataset[#All],4,FALSE)</f>
        <v>Wholesale</v>
      </c>
      <c r="F26" t="s">
        <v>69</v>
      </c>
      <c r="G26" t="str">
        <f>VLOOKUP(F26,Table_TechBridge_Task_8_Dataset_1[#All],2,FALSE)</f>
        <v>Keyboard</v>
      </c>
      <c r="H26" t="str">
        <f>VLOOKUP(F26,Table_TechBridge_Task_8_Dataset_1[#All],3,FALSE)</f>
        <v>Accessories</v>
      </c>
      <c r="I26" s="13">
        <v>5</v>
      </c>
      <c r="J26" s="4">
        <f>VLOOKUP(F26,Table_TechBridge_Task_8_Dataset_1[#All],4,FALSE)</f>
        <v>15000</v>
      </c>
      <c r="K26" s="4">
        <v>0</v>
      </c>
      <c r="L26" s="5" t="s">
        <v>140</v>
      </c>
      <c r="M26" s="4">
        <f t="shared" si="0"/>
        <v>75000</v>
      </c>
    </row>
    <row r="27" spans="1:13" x14ac:dyDescent="0.25">
      <c r="A27" t="s">
        <v>141</v>
      </c>
      <c r="B27" t="s">
        <v>49</v>
      </c>
      <c r="C27" t="str">
        <f>VLOOKUP(B27,Table_TechBridge_Task_8_Dataset[#All],2,FALSE)</f>
        <v>Peter Williams</v>
      </c>
      <c r="D27" t="str">
        <f>VLOOKUP(B27,Table_TechBridge_Task_8_Dataset[#All],3,FALSE)</f>
        <v>Abeokuta</v>
      </c>
      <c r="E27" t="str">
        <f>VLOOKUP(B27,Table_TechBridge_Task_8_Dataset[#All],4,FALSE)</f>
        <v>Retail</v>
      </c>
      <c r="F27" t="s">
        <v>77</v>
      </c>
      <c r="G27" t="str">
        <f>VLOOKUP(F27,Table_TechBridge_Task_8_Dataset_1[#All],2,FALSE)</f>
        <v>Office Chair</v>
      </c>
      <c r="H27" t="str">
        <f>VLOOKUP(F27,Table_TechBridge_Task_8_Dataset_1[#All],3,FALSE)</f>
        <v>Furniture</v>
      </c>
      <c r="I27" s="13">
        <v>1</v>
      </c>
      <c r="J27" s="4">
        <f>VLOOKUP(F27,Table_TechBridge_Task_8_Dataset_1[#All],4,FALSE)</f>
        <v>95000</v>
      </c>
      <c r="K27" s="4">
        <v>0</v>
      </c>
      <c r="L27" s="5" t="s">
        <v>142</v>
      </c>
      <c r="M27" s="4">
        <f t="shared" si="0"/>
        <v>95000</v>
      </c>
    </row>
    <row r="28" spans="1:13" x14ac:dyDescent="0.25">
      <c r="A28" t="s">
        <v>143</v>
      </c>
      <c r="B28" t="s">
        <v>12</v>
      </c>
      <c r="C28" t="str">
        <f>VLOOKUP(B28,Table_TechBridge_Task_8_Dataset[#All],2,FALSE)</f>
        <v>Mariam Yusuf</v>
      </c>
      <c r="D28" t="str">
        <f>VLOOKUP(B28,Table_TechBridge_Task_8_Dataset[#All],3,FALSE)</f>
        <v>Kano</v>
      </c>
      <c r="E28" t="str">
        <f>VLOOKUP(B28,Table_TechBridge_Task_8_Dataset[#All],4,FALSE)</f>
        <v>Retail</v>
      </c>
      <c r="F28" t="s">
        <v>84</v>
      </c>
      <c r="G28" t="str">
        <f>VLOOKUP(F28,Table_TechBridge_Task_8_Dataset_1[#All],2,FALSE)</f>
        <v>Tablet</v>
      </c>
      <c r="H28" t="str">
        <f>VLOOKUP(F28,Table_TechBridge_Task_8_Dataset_1[#All],3,FALSE)</f>
        <v>Electronics</v>
      </c>
      <c r="I28" s="13">
        <v>2</v>
      </c>
      <c r="J28" s="4">
        <f>VLOOKUP(F28,Table_TechBridge_Task_8_Dataset_1[#All],4,FALSE)</f>
        <v>220000</v>
      </c>
      <c r="K28" s="4">
        <v>0</v>
      </c>
      <c r="L28" s="5" t="s">
        <v>144</v>
      </c>
      <c r="M28" s="4">
        <f t="shared" si="0"/>
        <v>440000</v>
      </c>
    </row>
    <row r="29" spans="1:13" x14ac:dyDescent="0.25">
      <c r="A29" t="s">
        <v>145</v>
      </c>
      <c r="B29" t="s">
        <v>33</v>
      </c>
      <c r="C29" t="str">
        <f>VLOOKUP(B29,Table_TechBridge_Task_8_Dataset[#All],2,FALSE)</f>
        <v>Ibrahim Sani</v>
      </c>
      <c r="D29" t="str">
        <f>VLOOKUP(B29,Table_TechBridge_Task_8_Dataset[#All],3,FALSE)</f>
        <v>Abuja</v>
      </c>
      <c r="E29" t="str">
        <f>VLOOKUP(B29,Table_TechBridge_Task_8_Dataset[#All],4,FALSE)</f>
        <v>Retail</v>
      </c>
      <c r="F29" t="s">
        <v>67</v>
      </c>
      <c r="G29" t="str">
        <f>VLOOKUP(F29,Table_TechBridge_Task_8_Dataset_1[#All],2,FALSE)</f>
        <v>Monitor</v>
      </c>
      <c r="H29" t="str">
        <f>VLOOKUP(F29,Table_TechBridge_Task_8_Dataset_1[#All],3,FALSE)</f>
        <v>Electronics</v>
      </c>
      <c r="I29" s="13">
        <v>3</v>
      </c>
      <c r="J29" s="4">
        <f>VLOOKUP(F29,Table_TechBridge_Task_8_Dataset_1[#All],4,FALSE)</f>
        <v>180000</v>
      </c>
      <c r="K29" s="4">
        <v>0</v>
      </c>
      <c r="L29" s="5" t="s">
        <v>146</v>
      </c>
      <c r="M29" s="4">
        <f t="shared" si="0"/>
        <v>540000</v>
      </c>
    </row>
    <row r="30" spans="1:13" x14ac:dyDescent="0.25">
      <c r="A30" t="s">
        <v>147</v>
      </c>
      <c r="B30" t="s">
        <v>52</v>
      </c>
      <c r="C30" t="str">
        <f>VLOOKUP(B30,Table_TechBridge_Task_8_Dataset[#All],2,FALSE)</f>
        <v>Hauwa Ali</v>
      </c>
      <c r="D30" t="str">
        <f>VLOOKUP(B30,Table_TechBridge_Task_8_Dataset[#All],3,FALSE)</f>
        <v>Kano</v>
      </c>
      <c r="E30" t="str">
        <f>VLOOKUP(B30,Table_TechBridge_Task_8_Dataset[#All],4,FALSE)</f>
        <v>Corporate</v>
      </c>
      <c r="F30" t="s">
        <v>74</v>
      </c>
      <c r="G30" t="str">
        <f>VLOOKUP(F30,Table_TechBridge_Task_8_Dataset_1[#All],2,FALSE)</f>
        <v>Printer</v>
      </c>
      <c r="H30" t="str">
        <f>VLOOKUP(F30,Table_TechBridge_Task_8_Dataset_1[#All],3,FALSE)</f>
        <v>Office Equipment</v>
      </c>
      <c r="I30" s="13">
        <v>4</v>
      </c>
      <c r="J30" s="4">
        <f>VLOOKUP(F30,Table_TechBridge_Task_8_Dataset_1[#All],4,FALSE)</f>
        <v>120000</v>
      </c>
      <c r="K30" s="4">
        <v>0.05</v>
      </c>
      <c r="L30" s="5" t="s">
        <v>148</v>
      </c>
      <c r="M30" s="4">
        <f t="shared" si="0"/>
        <v>456000</v>
      </c>
    </row>
    <row r="31" spans="1:13" x14ac:dyDescent="0.25">
      <c r="A31" t="s">
        <v>149</v>
      </c>
      <c r="B31" t="s">
        <v>15</v>
      </c>
      <c r="C31" t="str">
        <f>VLOOKUP(B31,Table_TechBridge_Task_8_Dataset[#All],2,FALSE)</f>
        <v>Chinedu Obi</v>
      </c>
      <c r="D31" t="str">
        <f>VLOOKUP(B31,Table_TechBridge_Task_8_Dataset[#All],3,FALSE)</f>
        <v>Port Harcourt</v>
      </c>
      <c r="E31" t="str">
        <f>VLOOKUP(B31,Table_TechBridge_Task_8_Dataset[#All],4,FALSE)</f>
        <v>Corporate</v>
      </c>
      <c r="F31" t="s">
        <v>82</v>
      </c>
      <c r="G31" t="str">
        <f>VLOOKUP(F31,Table_TechBridge_Task_8_Dataset_1[#All],2,FALSE)</f>
        <v>Headset</v>
      </c>
      <c r="H31" t="str">
        <f>VLOOKUP(F31,Table_TechBridge_Task_8_Dataset_1[#All],3,FALSE)</f>
        <v>Accessories</v>
      </c>
      <c r="I31" s="13">
        <v>5</v>
      </c>
      <c r="J31" s="4">
        <f>VLOOKUP(F31,Table_TechBridge_Task_8_Dataset_1[#All],4,FALSE)</f>
        <v>25000</v>
      </c>
      <c r="K31" s="4">
        <v>0</v>
      </c>
      <c r="L31" s="5" t="s">
        <v>150</v>
      </c>
      <c r="M31" s="4">
        <f t="shared" si="0"/>
        <v>125000</v>
      </c>
    </row>
    <row r="32" spans="1:13" x14ac:dyDescent="0.25">
      <c r="A32" t="s">
        <v>151</v>
      </c>
      <c r="B32" t="s">
        <v>35</v>
      </c>
      <c r="C32" t="str">
        <f>VLOOKUP(B32,Table_TechBridge_Task_8_Dataset[#All],2,FALSE)</f>
        <v>Esther James</v>
      </c>
      <c r="D32" t="str">
        <f>VLOOKUP(B32,Table_TechBridge_Task_8_Dataset[#All],3,FALSE)</f>
        <v>Warri</v>
      </c>
      <c r="E32" t="str">
        <f>VLOOKUP(B32,Table_TechBridge_Task_8_Dataset[#All],4,FALSE)</f>
        <v>Retail</v>
      </c>
      <c r="F32" t="s">
        <v>64</v>
      </c>
      <c r="G32" t="str">
        <f>VLOOKUP(F32,Table_TechBridge_Task_8_Dataset_1[#All],2,FALSE)</f>
        <v>Laptop</v>
      </c>
      <c r="H32" t="str">
        <f>VLOOKUP(F32,Table_TechBridge_Task_8_Dataset_1[#All],3,FALSE)</f>
        <v>Electronics</v>
      </c>
      <c r="I32" s="13">
        <v>1</v>
      </c>
      <c r="J32" s="4">
        <f>VLOOKUP(F32,Table_TechBridge_Task_8_Dataset_1[#All],4,FALSE)</f>
        <v>450000</v>
      </c>
      <c r="K32" s="4">
        <v>0</v>
      </c>
      <c r="L32" s="5" t="s">
        <v>152</v>
      </c>
      <c r="M32" s="4">
        <f t="shared" si="0"/>
        <v>450000</v>
      </c>
    </row>
    <row r="33" spans="1:13" x14ac:dyDescent="0.25">
      <c r="A33" t="s">
        <v>153</v>
      </c>
      <c r="B33" t="s">
        <v>54</v>
      </c>
      <c r="C33" t="str">
        <f>VLOOKUP(B33,Table_TechBridge_Task_8_Dataset[#All],2,FALSE)</f>
        <v>Kelvin George</v>
      </c>
      <c r="D33" t="str">
        <f>VLOOKUP(B33,Table_TechBridge_Task_8_Dataset[#All],3,FALSE)</f>
        <v>Port Harcourt</v>
      </c>
      <c r="E33" t="str">
        <f>VLOOKUP(B33,Table_TechBridge_Task_8_Dataset[#All],4,FALSE)</f>
        <v>Retail</v>
      </c>
      <c r="F33" t="s">
        <v>72</v>
      </c>
      <c r="G33" t="str">
        <f>VLOOKUP(F33,Table_TechBridge_Task_8_Dataset_1[#All],2,FALSE)</f>
        <v>Mouse</v>
      </c>
      <c r="H33" t="str">
        <f>VLOOKUP(F33,Table_TechBridge_Task_8_Dataset_1[#All],3,FALSE)</f>
        <v>Accessories</v>
      </c>
      <c r="I33" s="13">
        <v>2</v>
      </c>
      <c r="J33" s="4">
        <f>VLOOKUP(F33,Table_TechBridge_Task_8_Dataset_1[#All],4,FALSE)</f>
        <v>8000</v>
      </c>
      <c r="K33" s="4">
        <v>0</v>
      </c>
      <c r="L33" s="5" t="s">
        <v>154</v>
      </c>
      <c r="M33" s="4">
        <f t="shared" si="0"/>
        <v>16000</v>
      </c>
    </row>
    <row r="34" spans="1:13" x14ac:dyDescent="0.25">
      <c r="A34" t="s">
        <v>155</v>
      </c>
      <c r="B34" t="s">
        <v>18</v>
      </c>
      <c r="C34" t="str">
        <f>VLOOKUP(B34,Table_TechBridge_Task_8_Dataset[#All],2,FALSE)</f>
        <v>Grace Eze</v>
      </c>
      <c r="D34" t="str">
        <f>VLOOKUP(B34,Table_TechBridge_Task_8_Dataset[#All],3,FALSE)</f>
        <v>Benin City</v>
      </c>
      <c r="E34" t="str">
        <f>VLOOKUP(B34,Table_TechBridge_Task_8_Dataset[#All],4,FALSE)</f>
        <v>Retail</v>
      </c>
      <c r="F34" t="s">
        <v>80</v>
      </c>
      <c r="G34" t="str">
        <f>VLOOKUP(F34,Table_TechBridge_Task_8_Dataset_1[#All],2,FALSE)</f>
        <v>Desk</v>
      </c>
      <c r="H34" t="str">
        <f>VLOOKUP(F34,Table_TechBridge_Task_8_Dataset_1[#All],3,FALSE)</f>
        <v>Furniture</v>
      </c>
      <c r="I34" s="13">
        <v>3</v>
      </c>
      <c r="J34" s="4">
        <f>VLOOKUP(F34,Table_TechBridge_Task_8_Dataset_1[#All],4,FALSE)</f>
        <v>140000</v>
      </c>
      <c r="K34" s="4">
        <v>0</v>
      </c>
      <c r="L34" s="5" t="s">
        <v>156</v>
      </c>
      <c r="M34" s="4">
        <f t="shared" si="0"/>
        <v>420000</v>
      </c>
    </row>
    <row r="35" spans="1:13" x14ac:dyDescent="0.25">
      <c r="A35" t="s">
        <v>157</v>
      </c>
      <c r="B35" t="s">
        <v>38</v>
      </c>
      <c r="C35" t="str">
        <f>VLOOKUP(B35,Table_TechBridge_Task_8_Dataset[#All],2,FALSE)</f>
        <v>David Umeh</v>
      </c>
      <c r="D35" t="str">
        <f>VLOOKUP(B35,Table_TechBridge_Task_8_Dataset[#All],3,FALSE)</f>
        <v>Asaba</v>
      </c>
      <c r="E35" t="str">
        <f>VLOOKUP(B35,Table_TechBridge_Task_8_Dataset[#All],4,FALSE)</f>
        <v>Corporate</v>
      </c>
      <c r="F35" t="s">
        <v>86</v>
      </c>
      <c r="G35" t="str">
        <f>VLOOKUP(F35,Table_TechBridge_Task_8_Dataset_1[#All],2,FALSE)</f>
        <v>External Drive</v>
      </c>
      <c r="H35" t="str">
        <f>VLOOKUP(F35,Table_TechBridge_Task_8_Dataset_1[#All],3,FALSE)</f>
        <v>Electronics</v>
      </c>
      <c r="I35" s="13">
        <v>4</v>
      </c>
      <c r="J35" s="4">
        <f>VLOOKUP(F35,Table_TechBridge_Task_8_Dataset_1[#All],4,FALSE)</f>
        <v>75000</v>
      </c>
      <c r="K35" s="4">
        <v>0.1</v>
      </c>
      <c r="L35" s="5" t="s">
        <v>158</v>
      </c>
      <c r="M35" s="4">
        <f t="shared" si="0"/>
        <v>270000</v>
      </c>
    </row>
    <row r="36" spans="1:13" x14ac:dyDescent="0.25">
      <c r="A36" t="s">
        <v>159</v>
      </c>
      <c r="B36" t="s">
        <v>56</v>
      </c>
      <c r="C36" t="str">
        <f>VLOOKUP(B36,Table_TechBridge_Task_8_Dataset[#All],2,FALSE)</f>
        <v>Mercy John</v>
      </c>
      <c r="D36" t="str">
        <f>VLOOKUP(B36,Table_TechBridge_Task_8_Dataset[#All],3,FALSE)</f>
        <v>Benin City</v>
      </c>
      <c r="E36" t="str">
        <f>VLOOKUP(B36,Table_TechBridge_Task_8_Dataset[#All],4,FALSE)</f>
        <v>Wholesale</v>
      </c>
      <c r="F36" t="s">
        <v>69</v>
      </c>
      <c r="G36" t="str">
        <f>VLOOKUP(F36,Table_TechBridge_Task_8_Dataset_1[#All],2,FALSE)</f>
        <v>Keyboard</v>
      </c>
      <c r="H36" t="str">
        <f>VLOOKUP(F36,Table_TechBridge_Task_8_Dataset_1[#All],3,FALSE)</f>
        <v>Accessories</v>
      </c>
      <c r="I36" s="13">
        <v>5</v>
      </c>
      <c r="J36" s="4">
        <f>VLOOKUP(F36,Table_TechBridge_Task_8_Dataset_1[#All],4,FALSE)</f>
        <v>15000</v>
      </c>
      <c r="K36" s="4">
        <v>0</v>
      </c>
      <c r="L36" s="5" t="s">
        <v>160</v>
      </c>
      <c r="M36" s="4">
        <f t="shared" si="0"/>
        <v>75000</v>
      </c>
    </row>
    <row r="37" spans="1:13" x14ac:dyDescent="0.25">
      <c r="A37" t="s">
        <v>161</v>
      </c>
      <c r="B37" t="s">
        <v>21</v>
      </c>
      <c r="C37" t="str">
        <f>VLOOKUP(B37,Table_TechBridge_Task_8_Dataset[#All],2,FALSE)</f>
        <v>Samuel Adeyemi</v>
      </c>
      <c r="D37" t="str">
        <f>VLOOKUP(B37,Table_TechBridge_Task_8_Dataset[#All],3,FALSE)</f>
        <v>Ibadan</v>
      </c>
      <c r="E37" t="str">
        <f>VLOOKUP(B37,Table_TechBridge_Task_8_Dataset[#All],4,FALSE)</f>
        <v>Wholesale</v>
      </c>
      <c r="F37" t="s">
        <v>77</v>
      </c>
      <c r="G37" t="str">
        <f>VLOOKUP(F37,Table_TechBridge_Task_8_Dataset_1[#All],2,FALSE)</f>
        <v>Office Chair</v>
      </c>
      <c r="H37" t="str">
        <f>VLOOKUP(F37,Table_TechBridge_Task_8_Dataset_1[#All],3,FALSE)</f>
        <v>Furniture</v>
      </c>
      <c r="I37" s="13">
        <v>1</v>
      </c>
      <c r="J37" s="4">
        <f>VLOOKUP(F37,Table_TechBridge_Task_8_Dataset_1[#All],4,FALSE)</f>
        <v>95000</v>
      </c>
      <c r="K37" s="4">
        <v>0.05</v>
      </c>
      <c r="L37" s="5" t="s">
        <v>162</v>
      </c>
      <c r="M37" s="4">
        <f t="shared" si="0"/>
        <v>90250</v>
      </c>
    </row>
    <row r="38" spans="1:13" x14ac:dyDescent="0.25">
      <c r="A38" t="s">
        <v>163</v>
      </c>
      <c r="B38" t="s">
        <v>41</v>
      </c>
      <c r="C38" t="str">
        <f>VLOOKUP(B38,Table_TechBridge_Task_8_Dataset[#All],2,FALSE)</f>
        <v>Joy Akpan</v>
      </c>
      <c r="D38" t="str">
        <f>VLOOKUP(B38,Table_TechBridge_Task_8_Dataset[#All],3,FALSE)</f>
        <v>Uyo</v>
      </c>
      <c r="E38" t="str">
        <f>VLOOKUP(B38,Table_TechBridge_Task_8_Dataset[#All],4,FALSE)</f>
        <v>Retail</v>
      </c>
      <c r="F38" t="s">
        <v>84</v>
      </c>
      <c r="G38" t="str">
        <f>VLOOKUP(F38,Table_TechBridge_Task_8_Dataset_1[#All],2,FALSE)</f>
        <v>Tablet</v>
      </c>
      <c r="H38" t="str">
        <f>VLOOKUP(F38,Table_TechBridge_Task_8_Dataset_1[#All],3,FALSE)</f>
        <v>Electronics</v>
      </c>
      <c r="I38" s="13">
        <v>2</v>
      </c>
      <c r="J38" s="4">
        <f>VLOOKUP(F38,Table_TechBridge_Task_8_Dataset_1[#All],4,FALSE)</f>
        <v>220000</v>
      </c>
      <c r="K38" s="4">
        <v>0</v>
      </c>
      <c r="L38" s="5" t="s">
        <v>164</v>
      </c>
      <c r="M38" s="4">
        <f t="shared" si="0"/>
        <v>440000</v>
      </c>
    </row>
    <row r="39" spans="1:13" x14ac:dyDescent="0.25">
      <c r="A39" t="s">
        <v>165</v>
      </c>
      <c r="B39" t="s">
        <v>58</v>
      </c>
      <c r="C39" t="str">
        <f>VLOOKUP(B39,Table_TechBridge_Task_8_Dataset[#All],2,FALSE)</f>
        <v>Tunde Adebayo</v>
      </c>
      <c r="D39" t="str">
        <f>VLOOKUP(B39,Table_TechBridge_Task_8_Dataset[#All],3,FALSE)</f>
        <v>Ibadan</v>
      </c>
      <c r="E39" t="str">
        <f>VLOOKUP(B39,Table_TechBridge_Task_8_Dataset[#All],4,FALSE)</f>
        <v>Corporate</v>
      </c>
      <c r="F39" t="s">
        <v>67</v>
      </c>
      <c r="G39" t="str">
        <f>VLOOKUP(F39,Table_TechBridge_Task_8_Dataset_1[#All],2,FALSE)</f>
        <v>Monitor</v>
      </c>
      <c r="H39" t="str">
        <f>VLOOKUP(F39,Table_TechBridge_Task_8_Dataset_1[#All],3,FALSE)</f>
        <v>Electronics</v>
      </c>
      <c r="I39" s="13">
        <v>3</v>
      </c>
      <c r="J39" s="4">
        <f>VLOOKUP(F39,Table_TechBridge_Task_8_Dataset_1[#All],4,FALSE)</f>
        <v>180000</v>
      </c>
      <c r="K39" s="4">
        <v>0</v>
      </c>
      <c r="L39" s="5" t="s">
        <v>166</v>
      </c>
      <c r="M39" s="4">
        <f t="shared" si="0"/>
        <v>540000</v>
      </c>
    </row>
    <row r="40" spans="1:13" x14ac:dyDescent="0.25">
      <c r="A40" t="s">
        <v>167</v>
      </c>
      <c r="B40" t="s">
        <v>25</v>
      </c>
      <c r="C40" t="str">
        <f>VLOOKUP(B40,Table_TechBridge_Task_8_Dataset[#All],2,FALSE)</f>
        <v>Fatima Musa</v>
      </c>
      <c r="D40" t="str">
        <f>VLOOKUP(B40,Table_TechBridge_Task_8_Dataset[#All],3,FALSE)</f>
        <v>Kaduna</v>
      </c>
      <c r="E40" t="str">
        <f>VLOOKUP(B40,Table_TechBridge_Task_8_Dataset[#All],4,FALSE)</f>
        <v>Retail</v>
      </c>
      <c r="F40" t="s">
        <v>74</v>
      </c>
      <c r="G40" t="str">
        <f>VLOOKUP(F40,Table_TechBridge_Task_8_Dataset_1[#All],2,FALSE)</f>
        <v>Printer</v>
      </c>
      <c r="H40" t="str">
        <f>VLOOKUP(F40,Table_TechBridge_Task_8_Dataset_1[#All],3,FALSE)</f>
        <v>Office Equipment</v>
      </c>
      <c r="I40" s="13">
        <v>4</v>
      </c>
      <c r="J40" s="4">
        <f>VLOOKUP(F40,Table_TechBridge_Task_8_Dataset_1[#All],4,FALSE)</f>
        <v>120000</v>
      </c>
      <c r="K40" s="4">
        <v>0</v>
      </c>
      <c r="L40" s="5" t="s">
        <v>168</v>
      </c>
      <c r="M40" s="4">
        <f t="shared" si="0"/>
        <v>480000</v>
      </c>
    </row>
    <row r="41" spans="1:13" x14ac:dyDescent="0.25">
      <c r="A41" t="s">
        <v>169</v>
      </c>
      <c r="B41" t="s">
        <v>44</v>
      </c>
      <c r="C41" t="str">
        <f>VLOOKUP(B41,Table_TechBridge_Task_8_Dataset[#All],2,FALSE)</f>
        <v>Michael Joseph</v>
      </c>
      <c r="D41" t="str">
        <f>VLOOKUP(B41,Table_TechBridge_Task_8_Dataset[#All],3,FALSE)</f>
        <v>Calabar</v>
      </c>
      <c r="E41" t="str">
        <f>VLOOKUP(B41,Table_TechBridge_Task_8_Dataset[#All],4,FALSE)</f>
        <v>Wholesale</v>
      </c>
      <c r="F41" t="s">
        <v>82</v>
      </c>
      <c r="G41" t="str">
        <f>VLOOKUP(F41,Table_TechBridge_Task_8_Dataset_1[#All],2,FALSE)</f>
        <v>Headset</v>
      </c>
      <c r="H41" t="str">
        <f>VLOOKUP(F41,Table_TechBridge_Task_8_Dataset_1[#All],3,FALSE)</f>
        <v>Accessories</v>
      </c>
      <c r="I41" s="13">
        <v>5</v>
      </c>
      <c r="J41" s="4">
        <f>VLOOKUP(F41,Table_TechBridge_Task_8_Dataset_1[#All],4,FALSE)</f>
        <v>25000</v>
      </c>
      <c r="K41" s="4">
        <v>0</v>
      </c>
      <c r="L41" s="5" t="s">
        <v>170</v>
      </c>
      <c r="M41" s="4">
        <f t="shared" si="0"/>
        <v>125000</v>
      </c>
    </row>
    <row r="42" spans="1:13" x14ac:dyDescent="0.25">
      <c r="A42" t="s">
        <v>174</v>
      </c>
      <c r="B42" t="s">
        <v>28</v>
      </c>
      <c r="C42" t="str">
        <f>VLOOKUP(B42,Table_TechBridge_Task_8_Dataset[#All],2,FALSE)</f>
        <v>Emeka Nwosu</v>
      </c>
      <c r="D42" t="str">
        <f>VLOOKUP(B42,Table_TechBridge_Task_8_Dataset[#All],3,FALSE)</f>
        <v>Enugu</v>
      </c>
      <c r="E42" t="str">
        <f>VLOOKUP(B42,Table_TechBridge_Task_8_Dataset[#All],4,FALSE)</f>
        <v>Corporate</v>
      </c>
      <c r="F42" t="s">
        <v>72</v>
      </c>
      <c r="G42" t="str">
        <f>VLOOKUP(F42,Table_TechBridge_Task_8_Dataset_1[#All],2,FALSE)</f>
        <v>Mouse</v>
      </c>
      <c r="H42" t="str">
        <f>VLOOKUP(F42,Table_TechBridge_Task_8_Dataset_1[#All],3,FALSE)</f>
        <v>Accessories</v>
      </c>
      <c r="I42" s="13">
        <v>2</v>
      </c>
      <c r="J42" s="4">
        <f>VLOOKUP(F42,Table_TechBridge_Task_8_Dataset_1[#All],4,FALSE)</f>
        <v>8000</v>
      </c>
      <c r="K42" s="4">
        <v>0</v>
      </c>
      <c r="L42" s="5" t="s">
        <v>175</v>
      </c>
      <c r="M42" s="4">
        <f t="shared" si="0"/>
        <v>16000</v>
      </c>
    </row>
    <row r="43" spans="1:13" x14ac:dyDescent="0.25">
      <c r="A43" t="s">
        <v>176</v>
      </c>
      <c r="B43" t="s">
        <v>47</v>
      </c>
      <c r="C43" t="str">
        <f>VLOOKUP(B43,Table_TechBridge_Task_8_Dataset[#All],2,FALSE)</f>
        <v>Ruth Daniel</v>
      </c>
      <c r="D43" t="str">
        <f>VLOOKUP(B43,Table_TechBridge_Task_8_Dataset[#All],3,FALSE)</f>
        <v>Lagos</v>
      </c>
      <c r="E43" t="str">
        <f>VLOOKUP(B43,Table_TechBridge_Task_8_Dataset[#All],4,FALSE)</f>
        <v>Corporate</v>
      </c>
      <c r="F43" t="s">
        <v>80</v>
      </c>
      <c r="G43" t="str">
        <f>VLOOKUP(F43,Table_TechBridge_Task_8_Dataset_1[#All],2,FALSE)</f>
        <v>Desk</v>
      </c>
      <c r="H43" t="str">
        <f>VLOOKUP(F43,Table_TechBridge_Task_8_Dataset_1[#All],3,FALSE)</f>
        <v>Furniture</v>
      </c>
      <c r="I43" s="13">
        <v>3</v>
      </c>
      <c r="J43" s="4">
        <f>VLOOKUP(F43,Table_TechBridge_Task_8_Dataset_1[#All],4,FALSE)</f>
        <v>140000</v>
      </c>
      <c r="K43" s="4">
        <v>0.05</v>
      </c>
      <c r="L43" s="5" t="s">
        <v>177</v>
      </c>
      <c r="M43" s="4">
        <f t="shared" si="0"/>
        <v>399000</v>
      </c>
    </row>
    <row r="44" spans="1:13" x14ac:dyDescent="0.25">
      <c r="A44" t="s">
        <v>178</v>
      </c>
      <c r="B44" t="s">
        <v>8</v>
      </c>
      <c r="C44" t="str">
        <f>VLOOKUP(B44,Table_TechBridge_Task_8_Dataset[#All],2,FALSE)</f>
        <v>Daniel Okafor</v>
      </c>
      <c r="D44" t="str">
        <f>VLOOKUP(B44,Table_TechBridge_Task_8_Dataset[#All],3,FALSE)</f>
        <v>Abuja</v>
      </c>
      <c r="E44" t="str">
        <f>VLOOKUP(B44,Table_TechBridge_Task_8_Dataset[#All],4,FALSE)</f>
        <v>Corporate</v>
      </c>
      <c r="F44" t="s">
        <v>86</v>
      </c>
      <c r="G44" t="str">
        <f>VLOOKUP(F44,Table_TechBridge_Task_8_Dataset_1[#All],2,FALSE)</f>
        <v>External Drive</v>
      </c>
      <c r="H44" t="str">
        <f>VLOOKUP(F44,Table_TechBridge_Task_8_Dataset_1[#All],3,FALSE)</f>
        <v>Electronics</v>
      </c>
      <c r="I44" s="13">
        <v>4</v>
      </c>
      <c r="J44" s="4">
        <f>VLOOKUP(F44,Table_TechBridge_Task_8_Dataset_1[#All],4,FALSE)</f>
        <v>75000</v>
      </c>
      <c r="K44" s="4">
        <v>0</v>
      </c>
      <c r="L44" s="5" t="s">
        <v>179</v>
      </c>
      <c r="M44" s="4">
        <f t="shared" si="0"/>
        <v>300000</v>
      </c>
    </row>
    <row r="45" spans="1:13" x14ac:dyDescent="0.25">
      <c r="A45" t="s">
        <v>180</v>
      </c>
      <c r="B45" t="s">
        <v>31</v>
      </c>
      <c r="C45" t="str">
        <f>VLOOKUP(B45,Table_TechBridge_Task_8_Dataset[#All],2,FALSE)</f>
        <v>Blessing Ojo</v>
      </c>
      <c r="D45" t="str">
        <f>VLOOKUP(B45,Table_TechBridge_Task_8_Dataset[#All],3,FALSE)</f>
        <v>Lagos</v>
      </c>
      <c r="E45" t="str">
        <f>VLOOKUP(B45,Table_TechBridge_Task_8_Dataset[#All],4,FALSE)</f>
        <v>Wholesale</v>
      </c>
      <c r="F45" t="s">
        <v>69</v>
      </c>
      <c r="G45" t="str">
        <f>VLOOKUP(F45,Table_TechBridge_Task_8_Dataset_1[#All],2,FALSE)</f>
        <v>Keyboard</v>
      </c>
      <c r="H45" t="str">
        <f>VLOOKUP(F45,Table_TechBridge_Task_8_Dataset_1[#All],3,FALSE)</f>
        <v>Accessories</v>
      </c>
      <c r="I45" s="13">
        <v>5</v>
      </c>
      <c r="J45" s="4">
        <f>VLOOKUP(F45,Table_TechBridge_Task_8_Dataset_1[#All],4,FALSE)</f>
        <v>15000</v>
      </c>
      <c r="K45" s="4">
        <v>0.1</v>
      </c>
      <c r="L45" s="5" t="s">
        <v>181</v>
      </c>
      <c r="M45" s="4">
        <f t="shared" si="0"/>
        <v>67500</v>
      </c>
    </row>
    <row r="46" spans="1:13" x14ac:dyDescent="0.25">
      <c r="A46" t="s">
        <v>182</v>
      </c>
      <c r="B46" t="s">
        <v>49</v>
      </c>
      <c r="C46" t="str">
        <f>VLOOKUP(B46,Table_TechBridge_Task_8_Dataset[#All],2,FALSE)</f>
        <v>Peter Williams</v>
      </c>
      <c r="D46" t="str">
        <f>VLOOKUP(B46,Table_TechBridge_Task_8_Dataset[#All],3,FALSE)</f>
        <v>Abeokuta</v>
      </c>
      <c r="E46" t="str">
        <f>VLOOKUP(B46,Table_TechBridge_Task_8_Dataset[#All],4,FALSE)</f>
        <v>Retail</v>
      </c>
      <c r="F46" t="s">
        <v>77</v>
      </c>
      <c r="G46" t="str">
        <f>VLOOKUP(F46,Table_TechBridge_Task_8_Dataset_1[#All],2,FALSE)</f>
        <v>Office Chair</v>
      </c>
      <c r="H46" t="str">
        <f>VLOOKUP(F46,Table_TechBridge_Task_8_Dataset_1[#All],3,FALSE)</f>
        <v>Furniture</v>
      </c>
      <c r="I46" s="13">
        <v>1</v>
      </c>
      <c r="J46" s="4">
        <f>VLOOKUP(F46,Table_TechBridge_Task_8_Dataset_1[#All],4,FALSE)</f>
        <v>95000</v>
      </c>
      <c r="K46" s="4">
        <v>0</v>
      </c>
      <c r="L46" s="5" t="s">
        <v>183</v>
      </c>
      <c r="M46" s="4">
        <f t="shared" si="0"/>
        <v>95000</v>
      </c>
    </row>
    <row r="47" spans="1:13" x14ac:dyDescent="0.25">
      <c r="A47" t="s">
        <v>184</v>
      </c>
      <c r="B47" t="s">
        <v>12</v>
      </c>
      <c r="C47" t="str">
        <f>VLOOKUP(B47,Table_TechBridge_Task_8_Dataset[#All],2,FALSE)</f>
        <v>Mariam Yusuf</v>
      </c>
      <c r="D47" t="str">
        <f>VLOOKUP(B47,Table_TechBridge_Task_8_Dataset[#All],3,FALSE)</f>
        <v>Kano</v>
      </c>
      <c r="E47" t="str">
        <f>VLOOKUP(B47,Table_TechBridge_Task_8_Dataset[#All],4,FALSE)</f>
        <v>Retail</v>
      </c>
      <c r="F47" t="s">
        <v>84</v>
      </c>
      <c r="G47" t="str">
        <f>VLOOKUP(F47,Table_TechBridge_Task_8_Dataset_1[#All],2,FALSE)</f>
        <v>Tablet</v>
      </c>
      <c r="H47" t="str">
        <f>VLOOKUP(F47,Table_TechBridge_Task_8_Dataset_1[#All],3,FALSE)</f>
        <v>Electronics</v>
      </c>
      <c r="I47" s="13">
        <v>2</v>
      </c>
      <c r="J47" s="4">
        <f>VLOOKUP(F47,Table_TechBridge_Task_8_Dataset_1[#All],4,FALSE)</f>
        <v>220000</v>
      </c>
      <c r="K47" s="4">
        <v>0</v>
      </c>
      <c r="L47" s="5" t="s">
        <v>185</v>
      </c>
      <c r="M47" s="4">
        <f t="shared" si="0"/>
        <v>440000</v>
      </c>
    </row>
    <row r="48" spans="1:13" x14ac:dyDescent="0.25">
      <c r="A48" t="s">
        <v>186</v>
      </c>
      <c r="B48" t="s">
        <v>33</v>
      </c>
      <c r="C48" t="str">
        <f>VLOOKUP(B48,Table_TechBridge_Task_8_Dataset[#All],2,FALSE)</f>
        <v>Ibrahim Sani</v>
      </c>
      <c r="D48" t="str">
        <f>VLOOKUP(B48,Table_TechBridge_Task_8_Dataset[#All],3,FALSE)</f>
        <v>Abuja</v>
      </c>
      <c r="E48" t="str">
        <f>VLOOKUP(B48,Table_TechBridge_Task_8_Dataset[#All],4,FALSE)</f>
        <v>Retail</v>
      </c>
      <c r="F48" t="s">
        <v>67</v>
      </c>
      <c r="G48" t="str">
        <f>VLOOKUP(F48,Table_TechBridge_Task_8_Dataset_1[#All],2,FALSE)</f>
        <v>Monitor</v>
      </c>
      <c r="H48" t="str">
        <f>VLOOKUP(F48,Table_TechBridge_Task_8_Dataset_1[#All],3,FALSE)</f>
        <v>Electronics</v>
      </c>
      <c r="I48" s="13">
        <v>3</v>
      </c>
      <c r="J48" s="4">
        <f>VLOOKUP(F48,Table_TechBridge_Task_8_Dataset_1[#All],4,FALSE)</f>
        <v>180000</v>
      </c>
      <c r="K48" s="4">
        <v>0</v>
      </c>
      <c r="L48" s="5" t="s">
        <v>187</v>
      </c>
      <c r="M48" s="4">
        <f t="shared" si="0"/>
        <v>540000</v>
      </c>
    </row>
    <row r="49" spans="1:13" x14ac:dyDescent="0.25">
      <c r="A49" t="s">
        <v>188</v>
      </c>
      <c r="B49" t="s">
        <v>52</v>
      </c>
      <c r="C49" t="str">
        <f>VLOOKUP(B49,Table_TechBridge_Task_8_Dataset[#All],2,FALSE)</f>
        <v>Hauwa Ali</v>
      </c>
      <c r="D49" t="str">
        <f>VLOOKUP(B49,Table_TechBridge_Task_8_Dataset[#All],3,FALSE)</f>
        <v>Kano</v>
      </c>
      <c r="E49" t="str">
        <f>VLOOKUP(B49,Table_TechBridge_Task_8_Dataset[#All],4,FALSE)</f>
        <v>Corporate</v>
      </c>
      <c r="F49" t="s">
        <v>74</v>
      </c>
      <c r="G49" t="str">
        <f>VLOOKUP(F49,Table_TechBridge_Task_8_Dataset_1[#All],2,FALSE)</f>
        <v>Printer</v>
      </c>
      <c r="H49" t="str">
        <f>VLOOKUP(F49,Table_TechBridge_Task_8_Dataset_1[#All],3,FALSE)</f>
        <v>Office Equipment</v>
      </c>
      <c r="I49" s="13">
        <v>4</v>
      </c>
      <c r="J49" s="4">
        <f>VLOOKUP(F49,Table_TechBridge_Task_8_Dataset_1[#All],4,FALSE)</f>
        <v>120000</v>
      </c>
      <c r="K49" s="4">
        <v>0</v>
      </c>
      <c r="L49" s="5" t="s">
        <v>189</v>
      </c>
      <c r="M49" s="4">
        <f t="shared" si="0"/>
        <v>480000</v>
      </c>
    </row>
    <row r="50" spans="1:13" x14ac:dyDescent="0.25">
      <c r="A50" t="s">
        <v>190</v>
      </c>
      <c r="B50" t="s">
        <v>15</v>
      </c>
      <c r="C50" t="str">
        <f>VLOOKUP(B50,Table_TechBridge_Task_8_Dataset[#All],2,FALSE)</f>
        <v>Chinedu Obi</v>
      </c>
      <c r="D50" t="str">
        <f>VLOOKUP(B50,Table_TechBridge_Task_8_Dataset[#All],3,FALSE)</f>
        <v>Port Harcourt</v>
      </c>
      <c r="E50" t="str">
        <f>VLOOKUP(B50,Table_TechBridge_Task_8_Dataset[#All],4,FALSE)</f>
        <v>Corporate</v>
      </c>
      <c r="F50" t="s">
        <v>82</v>
      </c>
      <c r="G50" t="str">
        <f>VLOOKUP(F50,Table_TechBridge_Task_8_Dataset_1[#All],2,FALSE)</f>
        <v>Headset</v>
      </c>
      <c r="H50" t="str">
        <f>VLOOKUP(F50,Table_TechBridge_Task_8_Dataset_1[#All],3,FALSE)</f>
        <v>Accessories</v>
      </c>
      <c r="I50" s="13">
        <v>5</v>
      </c>
      <c r="J50" s="4">
        <f>VLOOKUP(F50,Table_TechBridge_Task_8_Dataset_1[#All],4,FALSE)</f>
        <v>25000</v>
      </c>
      <c r="K50" s="4">
        <v>0.05</v>
      </c>
      <c r="L50" s="5" t="s">
        <v>191</v>
      </c>
      <c r="M50" s="4">
        <f t="shared" si="0"/>
        <v>118750</v>
      </c>
    </row>
    <row r="51" spans="1:13" x14ac:dyDescent="0.25">
      <c r="A51" t="s">
        <v>192</v>
      </c>
      <c r="B51" t="s">
        <v>35</v>
      </c>
      <c r="C51" t="str">
        <f>VLOOKUP(B51,Table_TechBridge_Task_8_Dataset[#All],2,FALSE)</f>
        <v>Esther James</v>
      </c>
      <c r="D51" t="str">
        <f>VLOOKUP(B51,Table_TechBridge_Task_8_Dataset[#All],3,FALSE)</f>
        <v>Warri</v>
      </c>
      <c r="E51" t="str">
        <f>VLOOKUP(B51,Table_TechBridge_Task_8_Dataset[#All],4,FALSE)</f>
        <v>Retail</v>
      </c>
      <c r="F51" t="s">
        <v>64</v>
      </c>
      <c r="G51" t="str">
        <f>VLOOKUP(F51,Table_TechBridge_Task_8_Dataset_1[#All],2,FALSE)</f>
        <v>Laptop</v>
      </c>
      <c r="H51" t="str">
        <f>VLOOKUP(F51,Table_TechBridge_Task_8_Dataset_1[#All],3,FALSE)</f>
        <v>Electronics</v>
      </c>
      <c r="I51" s="13">
        <v>1</v>
      </c>
      <c r="J51" s="4">
        <f>VLOOKUP(F51,Table_TechBridge_Task_8_Dataset_1[#All],4,FALSE)</f>
        <v>450000</v>
      </c>
      <c r="K51" s="4">
        <v>0</v>
      </c>
      <c r="L51" s="5" t="s">
        <v>193</v>
      </c>
      <c r="M51" s="4">
        <f t="shared" si="0"/>
        <v>450000</v>
      </c>
    </row>
    <row r="52" spans="1:13" x14ac:dyDescent="0.25">
      <c r="A52" t="s">
        <v>194</v>
      </c>
      <c r="B52" t="s">
        <v>54</v>
      </c>
      <c r="C52" t="str">
        <f>VLOOKUP(B52,Table_TechBridge_Task_8_Dataset[#All],2,FALSE)</f>
        <v>Kelvin George</v>
      </c>
      <c r="D52" t="str">
        <f>VLOOKUP(B52,Table_TechBridge_Task_8_Dataset[#All],3,FALSE)</f>
        <v>Port Harcourt</v>
      </c>
      <c r="E52" t="str">
        <f>VLOOKUP(B52,Table_TechBridge_Task_8_Dataset[#All],4,FALSE)</f>
        <v>Retail</v>
      </c>
      <c r="F52" t="s">
        <v>72</v>
      </c>
      <c r="G52" t="str">
        <f>VLOOKUP(F52,Table_TechBridge_Task_8_Dataset_1[#All],2,FALSE)</f>
        <v>Mouse</v>
      </c>
      <c r="H52" t="str">
        <f>VLOOKUP(F52,Table_TechBridge_Task_8_Dataset_1[#All],3,FALSE)</f>
        <v>Accessories</v>
      </c>
      <c r="I52" s="13">
        <v>2</v>
      </c>
      <c r="J52" s="4">
        <f>VLOOKUP(F52,Table_TechBridge_Task_8_Dataset_1[#All],4,FALSE)</f>
        <v>8000</v>
      </c>
      <c r="K52" s="4">
        <v>0</v>
      </c>
      <c r="L52" s="5" t="s">
        <v>195</v>
      </c>
      <c r="M52" s="4">
        <f t="shared" si="0"/>
        <v>16000</v>
      </c>
    </row>
    <row r="53" spans="1:13" x14ac:dyDescent="0.25">
      <c r="A53" t="s">
        <v>196</v>
      </c>
      <c r="B53" t="s">
        <v>18</v>
      </c>
      <c r="C53" t="str">
        <f>VLOOKUP(B53,Table_TechBridge_Task_8_Dataset[#All],2,FALSE)</f>
        <v>Grace Eze</v>
      </c>
      <c r="D53" t="str">
        <f>VLOOKUP(B53,Table_TechBridge_Task_8_Dataset[#All],3,FALSE)</f>
        <v>Benin City</v>
      </c>
      <c r="E53" t="str">
        <f>VLOOKUP(B53,Table_TechBridge_Task_8_Dataset[#All],4,FALSE)</f>
        <v>Retail</v>
      </c>
      <c r="F53" t="s">
        <v>80</v>
      </c>
      <c r="G53" t="str">
        <f>VLOOKUP(F53,Table_TechBridge_Task_8_Dataset_1[#All],2,FALSE)</f>
        <v>Desk</v>
      </c>
      <c r="H53" t="str">
        <f>VLOOKUP(F53,Table_TechBridge_Task_8_Dataset_1[#All],3,FALSE)</f>
        <v>Furniture</v>
      </c>
      <c r="I53" s="13">
        <v>3</v>
      </c>
      <c r="J53" s="4">
        <f>VLOOKUP(F53,Table_TechBridge_Task_8_Dataset_1[#All],4,FALSE)</f>
        <v>140000</v>
      </c>
      <c r="K53" s="4">
        <v>0</v>
      </c>
      <c r="L53" s="5" t="s">
        <v>197</v>
      </c>
      <c r="M53" s="4">
        <f t="shared" si="0"/>
        <v>420000</v>
      </c>
    </row>
    <row r="54" spans="1:13" x14ac:dyDescent="0.25">
      <c r="A54" t="s">
        <v>198</v>
      </c>
      <c r="B54" t="s">
        <v>38</v>
      </c>
      <c r="C54" t="str">
        <f>VLOOKUP(B54,Table_TechBridge_Task_8_Dataset[#All],2,FALSE)</f>
        <v>David Umeh</v>
      </c>
      <c r="D54" t="str">
        <f>VLOOKUP(B54,Table_TechBridge_Task_8_Dataset[#All],3,FALSE)</f>
        <v>Asaba</v>
      </c>
      <c r="E54" t="str">
        <f>VLOOKUP(B54,Table_TechBridge_Task_8_Dataset[#All],4,FALSE)</f>
        <v>Corporate</v>
      </c>
      <c r="F54" t="s">
        <v>86</v>
      </c>
      <c r="G54" t="str">
        <f>VLOOKUP(F54,Table_TechBridge_Task_8_Dataset_1[#All],2,FALSE)</f>
        <v>External Drive</v>
      </c>
      <c r="H54" t="str">
        <f>VLOOKUP(F54,Table_TechBridge_Task_8_Dataset_1[#All],3,FALSE)</f>
        <v>Electronics</v>
      </c>
      <c r="I54" s="13">
        <v>4</v>
      </c>
      <c r="J54" s="4">
        <f>VLOOKUP(F54,Table_TechBridge_Task_8_Dataset_1[#All],4,FALSE)</f>
        <v>75000</v>
      </c>
      <c r="K54" s="4">
        <v>0</v>
      </c>
      <c r="L54" s="5" t="s">
        <v>199</v>
      </c>
      <c r="M54" s="4">
        <f t="shared" si="0"/>
        <v>300000</v>
      </c>
    </row>
    <row r="55" spans="1:13" x14ac:dyDescent="0.25">
      <c r="A55" t="s">
        <v>200</v>
      </c>
      <c r="B55" t="s">
        <v>56</v>
      </c>
      <c r="C55" t="str">
        <f>VLOOKUP(B55,Table_TechBridge_Task_8_Dataset[#All],2,FALSE)</f>
        <v>Mercy John</v>
      </c>
      <c r="D55" t="str">
        <f>VLOOKUP(B55,Table_TechBridge_Task_8_Dataset[#All],3,FALSE)</f>
        <v>Benin City</v>
      </c>
      <c r="E55" t="str">
        <f>VLOOKUP(B55,Table_TechBridge_Task_8_Dataset[#All],4,FALSE)</f>
        <v>Wholesale</v>
      </c>
      <c r="F55" t="s">
        <v>69</v>
      </c>
      <c r="G55" t="str">
        <f>VLOOKUP(F55,Table_TechBridge_Task_8_Dataset_1[#All],2,FALSE)</f>
        <v>Keyboard</v>
      </c>
      <c r="H55" t="str">
        <f>VLOOKUP(F55,Table_TechBridge_Task_8_Dataset_1[#All],3,FALSE)</f>
        <v>Accessories</v>
      </c>
      <c r="I55" s="13">
        <v>5</v>
      </c>
      <c r="J55" s="4">
        <f>VLOOKUP(F55,Table_TechBridge_Task_8_Dataset_1[#All],4,FALSE)</f>
        <v>15000</v>
      </c>
      <c r="K55" s="4">
        <v>0</v>
      </c>
      <c r="L55" s="5" t="s">
        <v>201</v>
      </c>
      <c r="M55" s="4">
        <f t="shared" si="0"/>
        <v>75000</v>
      </c>
    </row>
    <row r="56" spans="1:13" x14ac:dyDescent="0.25">
      <c r="A56" t="s">
        <v>202</v>
      </c>
      <c r="B56" t="s">
        <v>21</v>
      </c>
      <c r="C56" t="str">
        <f>VLOOKUP(B56,Table_TechBridge_Task_8_Dataset[#All],2,FALSE)</f>
        <v>Samuel Adeyemi</v>
      </c>
      <c r="D56" t="str">
        <f>VLOOKUP(B56,Table_TechBridge_Task_8_Dataset[#All],3,FALSE)</f>
        <v>Ibadan</v>
      </c>
      <c r="E56" t="str">
        <f>VLOOKUP(B56,Table_TechBridge_Task_8_Dataset[#All],4,FALSE)</f>
        <v>Wholesale</v>
      </c>
      <c r="F56" t="s">
        <v>77</v>
      </c>
      <c r="G56" t="str">
        <f>VLOOKUP(F56,Table_TechBridge_Task_8_Dataset_1[#All],2,FALSE)</f>
        <v>Office Chair</v>
      </c>
      <c r="H56" t="str">
        <f>VLOOKUP(F56,Table_TechBridge_Task_8_Dataset_1[#All],3,FALSE)</f>
        <v>Furniture</v>
      </c>
      <c r="I56" s="13">
        <v>1</v>
      </c>
      <c r="J56" s="4">
        <f>VLOOKUP(F56,Table_TechBridge_Task_8_Dataset_1[#All],4,FALSE)</f>
        <v>95000</v>
      </c>
      <c r="K56" s="4">
        <v>0.1</v>
      </c>
      <c r="L56" s="5" t="s">
        <v>93</v>
      </c>
      <c r="M56" s="4">
        <f t="shared" si="0"/>
        <v>85500</v>
      </c>
    </row>
    <row r="57" spans="1:13" x14ac:dyDescent="0.25">
      <c r="A57" t="s">
        <v>203</v>
      </c>
      <c r="B57" t="s">
        <v>41</v>
      </c>
      <c r="C57" t="str">
        <f>VLOOKUP(B57,Table_TechBridge_Task_8_Dataset[#All],2,FALSE)</f>
        <v>Joy Akpan</v>
      </c>
      <c r="D57" t="str">
        <f>VLOOKUP(B57,Table_TechBridge_Task_8_Dataset[#All],3,FALSE)</f>
        <v>Uyo</v>
      </c>
      <c r="E57" t="str">
        <f>VLOOKUP(B57,Table_TechBridge_Task_8_Dataset[#All],4,FALSE)</f>
        <v>Retail</v>
      </c>
      <c r="F57" t="s">
        <v>84</v>
      </c>
      <c r="G57" t="str">
        <f>VLOOKUP(F57,Table_TechBridge_Task_8_Dataset_1[#All],2,FALSE)</f>
        <v>Tablet</v>
      </c>
      <c r="H57" t="str">
        <f>VLOOKUP(F57,Table_TechBridge_Task_8_Dataset_1[#All],3,FALSE)</f>
        <v>Electronics</v>
      </c>
      <c r="I57" s="13">
        <v>2</v>
      </c>
      <c r="J57" s="4">
        <f>VLOOKUP(F57,Table_TechBridge_Task_8_Dataset_1[#All],4,FALSE)</f>
        <v>220000</v>
      </c>
      <c r="K57" s="4">
        <v>0.05</v>
      </c>
      <c r="L57" s="5" t="s">
        <v>95</v>
      </c>
      <c r="M57" s="4">
        <f t="shared" si="0"/>
        <v>418000</v>
      </c>
    </row>
    <row r="58" spans="1:13" x14ac:dyDescent="0.25">
      <c r="A58" t="s">
        <v>204</v>
      </c>
      <c r="B58" t="s">
        <v>58</v>
      </c>
      <c r="C58" t="str">
        <f>VLOOKUP(B58,Table_TechBridge_Task_8_Dataset[#All],2,FALSE)</f>
        <v>Tunde Adebayo</v>
      </c>
      <c r="D58" t="str">
        <f>VLOOKUP(B58,Table_TechBridge_Task_8_Dataset[#All],3,FALSE)</f>
        <v>Ibadan</v>
      </c>
      <c r="E58" t="str">
        <f>VLOOKUP(B58,Table_TechBridge_Task_8_Dataset[#All],4,FALSE)</f>
        <v>Corporate</v>
      </c>
      <c r="F58" t="s">
        <v>67</v>
      </c>
      <c r="G58" t="str">
        <f>VLOOKUP(F58,Table_TechBridge_Task_8_Dataset_1[#All],2,FALSE)</f>
        <v>Monitor</v>
      </c>
      <c r="H58" t="str">
        <f>VLOOKUP(F58,Table_TechBridge_Task_8_Dataset_1[#All],3,FALSE)</f>
        <v>Electronics</v>
      </c>
      <c r="I58" s="13">
        <v>3</v>
      </c>
      <c r="J58" s="4">
        <f>VLOOKUP(F58,Table_TechBridge_Task_8_Dataset_1[#All],4,FALSE)</f>
        <v>180000</v>
      </c>
      <c r="K58" s="4">
        <v>0</v>
      </c>
      <c r="L58" s="5" t="s">
        <v>97</v>
      </c>
      <c r="M58" s="4">
        <f t="shared" si="0"/>
        <v>540000</v>
      </c>
    </row>
    <row r="59" spans="1:13" x14ac:dyDescent="0.25">
      <c r="A59" t="s">
        <v>205</v>
      </c>
      <c r="B59" t="s">
        <v>25</v>
      </c>
      <c r="C59" t="str">
        <f>VLOOKUP(B59,Table_TechBridge_Task_8_Dataset[#All],2,FALSE)</f>
        <v>Fatima Musa</v>
      </c>
      <c r="D59" t="str">
        <f>VLOOKUP(B59,Table_TechBridge_Task_8_Dataset[#All],3,FALSE)</f>
        <v>Kaduna</v>
      </c>
      <c r="E59" t="str">
        <f>VLOOKUP(B59,Table_TechBridge_Task_8_Dataset[#All],4,FALSE)</f>
        <v>Retail</v>
      </c>
      <c r="F59" t="s">
        <v>74</v>
      </c>
      <c r="G59" t="str">
        <f>VLOOKUP(F59,Table_TechBridge_Task_8_Dataset_1[#All],2,FALSE)</f>
        <v>Printer</v>
      </c>
      <c r="H59" t="str">
        <f>VLOOKUP(F59,Table_TechBridge_Task_8_Dataset_1[#All],3,FALSE)</f>
        <v>Office Equipment</v>
      </c>
      <c r="I59" s="13">
        <v>4</v>
      </c>
      <c r="J59" s="4">
        <f>VLOOKUP(F59,Table_TechBridge_Task_8_Dataset_1[#All],4,FALSE)</f>
        <v>120000</v>
      </c>
      <c r="K59" s="4">
        <v>0</v>
      </c>
      <c r="L59" s="5" t="s">
        <v>99</v>
      </c>
      <c r="M59" s="4">
        <f t="shared" si="0"/>
        <v>480000</v>
      </c>
    </row>
    <row r="60" spans="1:13" x14ac:dyDescent="0.25">
      <c r="A60" t="s">
        <v>206</v>
      </c>
      <c r="B60" t="s">
        <v>44</v>
      </c>
      <c r="C60" t="str">
        <f>VLOOKUP(B60,Table_TechBridge_Task_8_Dataset[#All],2,FALSE)</f>
        <v>Michael Joseph</v>
      </c>
      <c r="D60" t="str">
        <f>VLOOKUP(B60,Table_TechBridge_Task_8_Dataset[#All],3,FALSE)</f>
        <v>Calabar</v>
      </c>
      <c r="E60" t="str">
        <f>VLOOKUP(B60,Table_TechBridge_Task_8_Dataset[#All],4,FALSE)</f>
        <v>Wholesale</v>
      </c>
      <c r="F60" t="s">
        <v>82</v>
      </c>
      <c r="G60" t="str">
        <f>VLOOKUP(F60,Table_TechBridge_Task_8_Dataset_1[#All],2,FALSE)</f>
        <v>Headset</v>
      </c>
      <c r="H60" t="str">
        <f>VLOOKUP(F60,Table_TechBridge_Task_8_Dataset_1[#All],3,FALSE)</f>
        <v>Accessories</v>
      </c>
      <c r="I60" s="13">
        <v>5</v>
      </c>
      <c r="J60" s="4">
        <f>VLOOKUP(F60,Table_TechBridge_Task_8_Dataset_1[#All],4,FALSE)</f>
        <v>25000</v>
      </c>
      <c r="K60" s="4">
        <v>0</v>
      </c>
      <c r="L60" s="5" t="s">
        <v>101</v>
      </c>
      <c r="M60" s="4">
        <f t="shared" si="0"/>
        <v>125000</v>
      </c>
    </row>
    <row r="61" spans="1:13" x14ac:dyDescent="0.25">
      <c r="A61" t="s">
        <v>207</v>
      </c>
      <c r="B61" t="s">
        <v>4</v>
      </c>
      <c r="C61" t="str">
        <f>VLOOKUP(B61,Table_TechBridge_Task_8_Dataset[#All],2,FALSE)</f>
        <v>Aisha Bello</v>
      </c>
      <c r="D61" t="str">
        <f>VLOOKUP(B61,Table_TechBridge_Task_8_Dataset[#All],3,FALSE)</f>
        <v>Lagos</v>
      </c>
      <c r="E61" t="str">
        <f>VLOOKUP(B61,Table_TechBridge_Task_8_Dataset[#All],4,FALSE)</f>
        <v>Retail</v>
      </c>
      <c r="F61" t="s">
        <v>64</v>
      </c>
      <c r="G61" t="str">
        <f>VLOOKUP(F61,Table_TechBridge_Task_8_Dataset_1[#All],2,FALSE)</f>
        <v>Laptop</v>
      </c>
      <c r="H61" t="str">
        <f>VLOOKUP(F61,Table_TechBridge_Task_8_Dataset_1[#All],3,FALSE)</f>
        <v>Electronics</v>
      </c>
      <c r="I61" s="13">
        <v>1</v>
      </c>
      <c r="J61" s="4">
        <f>VLOOKUP(F61,Table_TechBridge_Task_8_Dataset_1[#All],4,FALSE)</f>
        <v>450000</v>
      </c>
      <c r="K61" s="4">
        <v>0</v>
      </c>
      <c r="L61" s="5" t="s">
        <v>103</v>
      </c>
      <c r="M61" s="4">
        <f t="shared" si="0"/>
        <v>450000</v>
      </c>
    </row>
    <row r="62" spans="1:13" x14ac:dyDescent="0.25">
      <c r="A62" t="s">
        <v>208</v>
      </c>
      <c r="B62" t="s">
        <v>28</v>
      </c>
      <c r="C62" t="str">
        <f>VLOOKUP(B62,Table_TechBridge_Task_8_Dataset[#All],2,FALSE)</f>
        <v>Emeka Nwosu</v>
      </c>
      <c r="D62" t="str">
        <f>VLOOKUP(B62,Table_TechBridge_Task_8_Dataset[#All],3,FALSE)</f>
        <v>Enugu</v>
      </c>
      <c r="E62" t="str">
        <f>VLOOKUP(B62,Table_TechBridge_Task_8_Dataset[#All],4,FALSE)</f>
        <v>Corporate</v>
      </c>
      <c r="F62" t="s">
        <v>72</v>
      </c>
      <c r="G62" t="str">
        <f>VLOOKUP(F62,Table_TechBridge_Task_8_Dataset_1[#All],2,FALSE)</f>
        <v>Mouse</v>
      </c>
      <c r="H62" t="str">
        <f>VLOOKUP(F62,Table_TechBridge_Task_8_Dataset_1[#All],3,FALSE)</f>
        <v>Accessories</v>
      </c>
      <c r="I62" s="13">
        <v>2</v>
      </c>
      <c r="J62" s="4">
        <f>VLOOKUP(F62,Table_TechBridge_Task_8_Dataset_1[#All],4,FALSE)</f>
        <v>8000</v>
      </c>
      <c r="K62" s="4">
        <v>0</v>
      </c>
      <c r="L62" s="5" t="s">
        <v>105</v>
      </c>
      <c r="M62" s="4">
        <f t="shared" si="0"/>
        <v>16000</v>
      </c>
    </row>
    <row r="63" spans="1:13" x14ac:dyDescent="0.25">
      <c r="A63" t="s">
        <v>209</v>
      </c>
      <c r="B63" t="s">
        <v>47</v>
      </c>
      <c r="C63" t="str">
        <f>VLOOKUP(B63,Table_TechBridge_Task_8_Dataset[#All],2,FALSE)</f>
        <v>Ruth Daniel</v>
      </c>
      <c r="D63" t="str">
        <f>VLOOKUP(B63,Table_TechBridge_Task_8_Dataset[#All],3,FALSE)</f>
        <v>Lagos</v>
      </c>
      <c r="E63" t="str">
        <f>VLOOKUP(B63,Table_TechBridge_Task_8_Dataset[#All],4,FALSE)</f>
        <v>Corporate</v>
      </c>
      <c r="F63" t="s">
        <v>80</v>
      </c>
      <c r="G63" t="str">
        <f>VLOOKUP(F63,Table_TechBridge_Task_8_Dataset_1[#All],2,FALSE)</f>
        <v>Desk</v>
      </c>
      <c r="H63" t="str">
        <f>VLOOKUP(F63,Table_TechBridge_Task_8_Dataset_1[#All],3,FALSE)</f>
        <v>Furniture</v>
      </c>
      <c r="I63" s="13">
        <v>3</v>
      </c>
      <c r="J63" s="4">
        <f>VLOOKUP(F63,Table_TechBridge_Task_8_Dataset_1[#All],4,FALSE)</f>
        <v>140000</v>
      </c>
      <c r="K63" s="4">
        <v>0</v>
      </c>
      <c r="L63" s="5" t="s">
        <v>107</v>
      </c>
      <c r="M63" s="4">
        <f t="shared" si="0"/>
        <v>420000</v>
      </c>
    </row>
    <row r="64" spans="1:13" x14ac:dyDescent="0.25">
      <c r="A64" t="s">
        <v>210</v>
      </c>
      <c r="B64" t="s">
        <v>8</v>
      </c>
      <c r="C64" t="str">
        <f>VLOOKUP(B64,Table_TechBridge_Task_8_Dataset[#All],2,FALSE)</f>
        <v>Daniel Okafor</v>
      </c>
      <c r="D64" t="str">
        <f>VLOOKUP(B64,Table_TechBridge_Task_8_Dataset[#All],3,FALSE)</f>
        <v>Abuja</v>
      </c>
      <c r="E64" t="str">
        <f>VLOOKUP(B64,Table_TechBridge_Task_8_Dataset[#All],4,FALSE)</f>
        <v>Corporate</v>
      </c>
      <c r="F64" t="s">
        <v>86</v>
      </c>
      <c r="G64" t="str">
        <f>VLOOKUP(F64,Table_TechBridge_Task_8_Dataset_1[#All],2,FALSE)</f>
        <v>External Drive</v>
      </c>
      <c r="H64" t="str">
        <f>VLOOKUP(F64,Table_TechBridge_Task_8_Dataset_1[#All],3,FALSE)</f>
        <v>Electronics</v>
      </c>
      <c r="I64" s="13">
        <v>4</v>
      </c>
      <c r="J64" s="4">
        <f>VLOOKUP(F64,Table_TechBridge_Task_8_Dataset_1[#All],4,FALSE)</f>
        <v>75000</v>
      </c>
      <c r="K64" s="4">
        <v>0.05</v>
      </c>
      <c r="L64" s="5" t="s">
        <v>109</v>
      </c>
      <c r="M64" s="4">
        <f t="shared" si="0"/>
        <v>285000</v>
      </c>
    </row>
    <row r="65" spans="1:13" x14ac:dyDescent="0.25">
      <c r="A65" t="s">
        <v>211</v>
      </c>
      <c r="B65" t="s">
        <v>31</v>
      </c>
      <c r="C65" t="str">
        <f>VLOOKUP(B65,Table_TechBridge_Task_8_Dataset[#All],2,FALSE)</f>
        <v>Blessing Ojo</v>
      </c>
      <c r="D65" t="str">
        <f>VLOOKUP(B65,Table_TechBridge_Task_8_Dataset[#All],3,FALSE)</f>
        <v>Lagos</v>
      </c>
      <c r="E65" t="str">
        <f>VLOOKUP(B65,Table_TechBridge_Task_8_Dataset[#All],4,FALSE)</f>
        <v>Wholesale</v>
      </c>
      <c r="F65" t="s">
        <v>69</v>
      </c>
      <c r="G65" t="str">
        <f>VLOOKUP(F65,Table_TechBridge_Task_8_Dataset_1[#All],2,FALSE)</f>
        <v>Keyboard</v>
      </c>
      <c r="H65" t="str">
        <f>VLOOKUP(F65,Table_TechBridge_Task_8_Dataset_1[#All],3,FALSE)</f>
        <v>Accessories</v>
      </c>
      <c r="I65" s="13">
        <v>5</v>
      </c>
      <c r="J65" s="4">
        <f>VLOOKUP(F65,Table_TechBridge_Task_8_Dataset_1[#All],4,FALSE)</f>
        <v>15000</v>
      </c>
      <c r="K65" s="4">
        <v>0</v>
      </c>
      <c r="L65" s="5" t="s">
        <v>112</v>
      </c>
      <c r="M65" s="4">
        <f t="shared" si="0"/>
        <v>75000</v>
      </c>
    </row>
    <row r="66" spans="1:13" x14ac:dyDescent="0.25">
      <c r="A66" t="s">
        <v>212</v>
      </c>
      <c r="B66" t="s">
        <v>49</v>
      </c>
      <c r="C66" t="str">
        <f>VLOOKUP(B66,Table_TechBridge_Task_8_Dataset[#All],2,FALSE)</f>
        <v>Peter Williams</v>
      </c>
      <c r="D66" t="str">
        <f>VLOOKUP(B66,Table_TechBridge_Task_8_Dataset[#All],3,FALSE)</f>
        <v>Abeokuta</v>
      </c>
      <c r="E66" t="str">
        <f>VLOOKUP(B66,Table_TechBridge_Task_8_Dataset[#All],4,FALSE)</f>
        <v>Retail</v>
      </c>
      <c r="F66" t="s">
        <v>77</v>
      </c>
      <c r="G66" t="str">
        <f>VLOOKUP(F66,Table_TechBridge_Task_8_Dataset_1[#All],2,FALSE)</f>
        <v>Office Chair</v>
      </c>
      <c r="H66" t="str">
        <f>VLOOKUP(F66,Table_TechBridge_Task_8_Dataset_1[#All],3,FALSE)</f>
        <v>Furniture</v>
      </c>
      <c r="I66" s="13">
        <v>1</v>
      </c>
      <c r="J66" s="4">
        <f>VLOOKUP(F66,Table_TechBridge_Task_8_Dataset_1[#All],4,FALSE)</f>
        <v>95000</v>
      </c>
      <c r="K66" s="4">
        <v>0</v>
      </c>
      <c r="L66" s="5" t="s">
        <v>114</v>
      </c>
      <c r="M66" s="4">
        <f t="shared" ref="M66:M128" si="1">(I66*J66)*(1 - K66)</f>
        <v>95000</v>
      </c>
    </row>
    <row r="67" spans="1:13" x14ac:dyDescent="0.25">
      <c r="A67" t="s">
        <v>213</v>
      </c>
      <c r="B67" t="s">
        <v>12</v>
      </c>
      <c r="C67" t="str">
        <f>VLOOKUP(B67,Table_TechBridge_Task_8_Dataset[#All],2,FALSE)</f>
        <v>Mariam Yusuf</v>
      </c>
      <c r="D67" t="str">
        <f>VLOOKUP(B67,Table_TechBridge_Task_8_Dataset[#All],3,FALSE)</f>
        <v>Kano</v>
      </c>
      <c r="E67" t="str">
        <f>VLOOKUP(B67,Table_TechBridge_Task_8_Dataset[#All],4,FALSE)</f>
        <v>Retail</v>
      </c>
      <c r="F67" t="s">
        <v>84</v>
      </c>
      <c r="G67" t="str">
        <f>VLOOKUP(F67,Table_TechBridge_Task_8_Dataset_1[#All],2,FALSE)</f>
        <v>Tablet</v>
      </c>
      <c r="H67" t="str">
        <f>VLOOKUP(F67,Table_TechBridge_Task_8_Dataset_1[#All],3,FALSE)</f>
        <v>Electronics</v>
      </c>
      <c r="I67" s="13">
        <v>2</v>
      </c>
      <c r="J67" s="4">
        <f>VLOOKUP(F67,Table_TechBridge_Task_8_Dataset_1[#All],4,FALSE)</f>
        <v>220000</v>
      </c>
      <c r="K67" s="4">
        <v>0.1</v>
      </c>
      <c r="L67" s="5" t="s">
        <v>116</v>
      </c>
      <c r="M67" s="4">
        <f t="shared" si="1"/>
        <v>396000</v>
      </c>
    </row>
    <row r="68" spans="1:13" x14ac:dyDescent="0.25">
      <c r="A68" t="s">
        <v>214</v>
      </c>
      <c r="B68" t="s">
        <v>33</v>
      </c>
      <c r="C68" t="str">
        <f>VLOOKUP(B68,Table_TechBridge_Task_8_Dataset[#All],2,FALSE)</f>
        <v>Ibrahim Sani</v>
      </c>
      <c r="D68" t="str">
        <f>VLOOKUP(B68,Table_TechBridge_Task_8_Dataset[#All],3,FALSE)</f>
        <v>Abuja</v>
      </c>
      <c r="E68" t="str">
        <f>VLOOKUP(B68,Table_TechBridge_Task_8_Dataset[#All],4,FALSE)</f>
        <v>Retail</v>
      </c>
      <c r="F68" t="s">
        <v>67</v>
      </c>
      <c r="G68" t="str">
        <f>VLOOKUP(F68,Table_TechBridge_Task_8_Dataset_1[#All],2,FALSE)</f>
        <v>Monitor</v>
      </c>
      <c r="H68" t="str">
        <f>VLOOKUP(F68,Table_TechBridge_Task_8_Dataset_1[#All],3,FALSE)</f>
        <v>Electronics</v>
      </c>
      <c r="I68" s="13">
        <v>3</v>
      </c>
      <c r="J68" s="4">
        <f>VLOOKUP(F68,Table_TechBridge_Task_8_Dataset_1[#All],4,FALSE)</f>
        <v>180000</v>
      </c>
      <c r="K68" s="4">
        <v>0</v>
      </c>
      <c r="L68" s="5" t="s">
        <v>118</v>
      </c>
      <c r="M68" s="4">
        <f t="shared" si="1"/>
        <v>540000</v>
      </c>
    </row>
    <row r="69" spans="1:13" x14ac:dyDescent="0.25">
      <c r="A69" t="s">
        <v>215</v>
      </c>
      <c r="B69" t="s">
        <v>52</v>
      </c>
      <c r="C69" t="str">
        <f>VLOOKUP(B69,Table_TechBridge_Task_8_Dataset[#All],2,FALSE)</f>
        <v>Hauwa Ali</v>
      </c>
      <c r="D69" t="str">
        <f>VLOOKUP(B69,Table_TechBridge_Task_8_Dataset[#All],3,FALSE)</f>
        <v>Kano</v>
      </c>
      <c r="E69" t="str">
        <f>VLOOKUP(B69,Table_TechBridge_Task_8_Dataset[#All],4,FALSE)</f>
        <v>Corporate</v>
      </c>
      <c r="F69" t="s">
        <v>74</v>
      </c>
      <c r="G69" t="str">
        <f>VLOOKUP(F69,Table_TechBridge_Task_8_Dataset_1[#All],2,FALSE)</f>
        <v>Printer</v>
      </c>
      <c r="H69" t="str">
        <f>VLOOKUP(F69,Table_TechBridge_Task_8_Dataset_1[#All],3,FALSE)</f>
        <v>Office Equipment</v>
      </c>
      <c r="I69" s="13">
        <v>4</v>
      </c>
      <c r="J69" s="4">
        <f>VLOOKUP(F69,Table_TechBridge_Task_8_Dataset_1[#All],4,FALSE)</f>
        <v>120000</v>
      </c>
      <c r="K69" s="4">
        <v>0</v>
      </c>
      <c r="L69" s="5" t="s">
        <v>120</v>
      </c>
      <c r="M69" s="4">
        <f t="shared" si="1"/>
        <v>480000</v>
      </c>
    </row>
    <row r="70" spans="1:13" x14ac:dyDescent="0.25">
      <c r="A70" t="s">
        <v>216</v>
      </c>
      <c r="B70" t="s">
        <v>15</v>
      </c>
      <c r="C70" t="str">
        <f>VLOOKUP(B70,Table_TechBridge_Task_8_Dataset[#All],2,FALSE)</f>
        <v>Chinedu Obi</v>
      </c>
      <c r="D70" t="str">
        <f>VLOOKUP(B70,Table_TechBridge_Task_8_Dataset[#All],3,FALSE)</f>
        <v>Port Harcourt</v>
      </c>
      <c r="E70" t="str">
        <f>VLOOKUP(B70,Table_TechBridge_Task_8_Dataset[#All],4,FALSE)</f>
        <v>Corporate</v>
      </c>
      <c r="F70" t="s">
        <v>82</v>
      </c>
      <c r="G70" t="str">
        <f>VLOOKUP(F70,Table_TechBridge_Task_8_Dataset_1[#All],2,FALSE)</f>
        <v>Headset</v>
      </c>
      <c r="H70" t="str">
        <f>VLOOKUP(F70,Table_TechBridge_Task_8_Dataset_1[#All],3,FALSE)</f>
        <v>Accessories</v>
      </c>
      <c r="I70" s="13">
        <v>5</v>
      </c>
      <c r="J70" s="4">
        <f>VLOOKUP(F70,Table_TechBridge_Task_8_Dataset_1[#All],4,FALSE)</f>
        <v>25000</v>
      </c>
      <c r="K70" s="4">
        <v>0</v>
      </c>
      <c r="L70" s="5" t="s">
        <v>122</v>
      </c>
      <c r="M70" s="4">
        <f t="shared" si="1"/>
        <v>125000</v>
      </c>
    </row>
    <row r="71" spans="1:13" x14ac:dyDescent="0.25">
      <c r="A71" t="s">
        <v>217</v>
      </c>
      <c r="B71" t="s">
        <v>35</v>
      </c>
      <c r="C71" t="str">
        <f>VLOOKUP(B71,Table_TechBridge_Task_8_Dataset[#All],2,FALSE)</f>
        <v>Esther James</v>
      </c>
      <c r="D71" t="str">
        <f>VLOOKUP(B71,Table_TechBridge_Task_8_Dataset[#All],3,FALSE)</f>
        <v>Warri</v>
      </c>
      <c r="E71" t="str">
        <f>VLOOKUP(B71,Table_TechBridge_Task_8_Dataset[#All],4,FALSE)</f>
        <v>Retail</v>
      </c>
      <c r="F71" t="s">
        <v>64</v>
      </c>
      <c r="G71" t="str">
        <f>VLOOKUP(F71,Table_TechBridge_Task_8_Dataset_1[#All],2,FALSE)</f>
        <v>Laptop</v>
      </c>
      <c r="H71" t="str">
        <f>VLOOKUP(F71,Table_TechBridge_Task_8_Dataset_1[#All],3,FALSE)</f>
        <v>Electronics</v>
      </c>
      <c r="I71" s="13">
        <v>1</v>
      </c>
      <c r="J71" s="4">
        <f>VLOOKUP(F71,Table_TechBridge_Task_8_Dataset_1[#All],4,FALSE)</f>
        <v>450000</v>
      </c>
      <c r="K71" s="4">
        <v>0.05</v>
      </c>
      <c r="L71" s="5" t="s">
        <v>124</v>
      </c>
      <c r="M71" s="4">
        <f t="shared" si="1"/>
        <v>427500</v>
      </c>
    </row>
    <row r="72" spans="1:13" x14ac:dyDescent="0.25">
      <c r="A72" t="s">
        <v>218</v>
      </c>
      <c r="B72" t="s">
        <v>54</v>
      </c>
      <c r="C72" t="str">
        <f>VLOOKUP(B72,Table_TechBridge_Task_8_Dataset[#All],2,FALSE)</f>
        <v>Kelvin George</v>
      </c>
      <c r="D72" t="str">
        <f>VLOOKUP(B72,Table_TechBridge_Task_8_Dataset[#All],3,FALSE)</f>
        <v>Port Harcourt</v>
      </c>
      <c r="E72" t="str">
        <f>VLOOKUP(B72,Table_TechBridge_Task_8_Dataset[#All],4,FALSE)</f>
        <v>Retail</v>
      </c>
      <c r="F72" t="s">
        <v>72</v>
      </c>
      <c r="G72" t="str">
        <f>VLOOKUP(F72,Table_TechBridge_Task_8_Dataset_1[#All],2,FALSE)</f>
        <v>Mouse</v>
      </c>
      <c r="H72" t="str">
        <f>VLOOKUP(F72,Table_TechBridge_Task_8_Dataset_1[#All],3,FALSE)</f>
        <v>Accessories</v>
      </c>
      <c r="I72" s="13">
        <v>2</v>
      </c>
      <c r="J72" s="4">
        <f>VLOOKUP(F72,Table_TechBridge_Task_8_Dataset_1[#All],4,FALSE)</f>
        <v>8000</v>
      </c>
      <c r="K72" s="4">
        <v>0</v>
      </c>
      <c r="L72" s="5" t="s">
        <v>126</v>
      </c>
      <c r="M72" s="4">
        <f t="shared" si="1"/>
        <v>16000</v>
      </c>
    </row>
    <row r="73" spans="1:13" x14ac:dyDescent="0.25">
      <c r="A73" t="s">
        <v>219</v>
      </c>
      <c r="B73" t="s">
        <v>18</v>
      </c>
      <c r="C73" t="str">
        <f>VLOOKUP(B73,Table_TechBridge_Task_8_Dataset[#All],2,FALSE)</f>
        <v>Grace Eze</v>
      </c>
      <c r="D73" t="str">
        <f>VLOOKUP(B73,Table_TechBridge_Task_8_Dataset[#All],3,FALSE)</f>
        <v>Benin City</v>
      </c>
      <c r="E73" t="str">
        <f>VLOOKUP(B73,Table_TechBridge_Task_8_Dataset[#All],4,FALSE)</f>
        <v>Retail</v>
      </c>
      <c r="F73" t="s">
        <v>80</v>
      </c>
      <c r="G73" t="str">
        <f>VLOOKUP(F73,Table_TechBridge_Task_8_Dataset_1[#All],2,FALSE)</f>
        <v>Desk</v>
      </c>
      <c r="H73" t="str">
        <f>VLOOKUP(F73,Table_TechBridge_Task_8_Dataset_1[#All],3,FALSE)</f>
        <v>Furniture</v>
      </c>
      <c r="I73" s="13">
        <v>3</v>
      </c>
      <c r="J73" s="4">
        <f>VLOOKUP(F73,Table_TechBridge_Task_8_Dataset_1[#All],4,FALSE)</f>
        <v>140000</v>
      </c>
      <c r="K73" s="4">
        <v>0</v>
      </c>
      <c r="L73" s="5" t="s">
        <v>128</v>
      </c>
      <c r="M73" s="4">
        <f t="shared" si="1"/>
        <v>420000</v>
      </c>
    </row>
    <row r="74" spans="1:13" x14ac:dyDescent="0.25">
      <c r="A74" t="s">
        <v>220</v>
      </c>
      <c r="B74" t="s">
        <v>38</v>
      </c>
      <c r="C74" t="str">
        <f>VLOOKUP(B74,Table_TechBridge_Task_8_Dataset[#All],2,FALSE)</f>
        <v>David Umeh</v>
      </c>
      <c r="D74" t="str">
        <f>VLOOKUP(B74,Table_TechBridge_Task_8_Dataset[#All],3,FALSE)</f>
        <v>Asaba</v>
      </c>
      <c r="E74" t="str">
        <f>VLOOKUP(B74,Table_TechBridge_Task_8_Dataset[#All],4,FALSE)</f>
        <v>Corporate</v>
      </c>
      <c r="F74" t="s">
        <v>86</v>
      </c>
      <c r="G74" t="str">
        <f>VLOOKUP(F74,Table_TechBridge_Task_8_Dataset_1[#All],2,FALSE)</f>
        <v>External Drive</v>
      </c>
      <c r="H74" t="str">
        <f>VLOOKUP(F74,Table_TechBridge_Task_8_Dataset_1[#All],3,FALSE)</f>
        <v>Electronics</v>
      </c>
      <c r="I74" s="13">
        <v>4</v>
      </c>
      <c r="J74" s="4">
        <f>VLOOKUP(F74,Table_TechBridge_Task_8_Dataset_1[#All],4,FALSE)</f>
        <v>75000</v>
      </c>
      <c r="K74" s="4">
        <v>0</v>
      </c>
      <c r="L74" s="5" t="s">
        <v>130</v>
      </c>
      <c r="M74" s="4">
        <f t="shared" si="1"/>
        <v>300000</v>
      </c>
    </row>
    <row r="75" spans="1:13" x14ac:dyDescent="0.25">
      <c r="A75" t="s">
        <v>221</v>
      </c>
      <c r="B75" t="s">
        <v>56</v>
      </c>
      <c r="C75" t="str">
        <f>VLOOKUP(B75,Table_TechBridge_Task_8_Dataset[#All],2,FALSE)</f>
        <v>Mercy John</v>
      </c>
      <c r="D75" t="str">
        <f>VLOOKUP(B75,Table_TechBridge_Task_8_Dataset[#All],3,FALSE)</f>
        <v>Benin City</v>
      </c>
      <c r="E75" t="str">
        <f>VLOOKUP(B75,Table_TechBridge_Task_8_Dataset[#All],4,FALSE)</f>
        <v>Wholesale</v>
      </c>
      <c r="F75" t="s">
        <v>69</v>
      </c>
      <c r="G75" t="str">
        <f>VLOOKUP(F75,Table_TechBridge_Task_8_Dataset_1[#All],2,FALSE)</f>
        <v>Keyboard</v>
      </c>
      <c r="H75" t="str">
        <f>VLOOKUP(F75,Table_TechBridge_Task_8_Dataset_1[#All],3,FALSE)</f>
        <v>Accessories</v>
      </c>
      <c r="I75" s="13">
        <v>5</v>
      </c>
      <c r="J75" s="4">
        <f>VLOOKUP(F75,Table_TechBridge_Task_8_Dataset_1[#All],4,FALSE)</f>
        <v>15000</v>
      </c>
      <c r="K75" s="4">
        <v>0</v>
      </c>
      <c r="L75" s="5" t="s">
        <v>132</v>
      </c>
      <c r="M75" s="4">
        <f t="shared" si="1"/>
        <v>75000</v>
      </c>
    </row>
    <row r="76" spans="1:13" x14ac:dyDescent="0.25">
      <c r="A76" t="s">
        <v>222</v>
      </c>
      <c r="B76" t="s">
        <v>21</v>
      </c>
      <c r="C76" t="str">
        <f>VLOOKUP(B76,Table_TechBridge_Task_8_Dataset[#All],2,FALSE)</f>
        <v>Samuel Adeyemi</v>
      </c>
      <c r="D76" t="str">
        <f>VLOOKUP(B76,Table_TechBridge_Task_8_Dataset[#All],3,FALSE)</f>
        <v>Ibadan</v>
      </c>
      <c r="E76" t="str">
        <f>VLOOKUP(B76,Table_TechBridge_Task_8_Dataset[#All],4,FALSE)</f>
        <v>Wholesale</v>
      </c>
      <c r="F76" t="s">
        <v>77</v>
      </c>
      <c r="G76" t="str">
        <f>VLOOKUP(F76,Table_TechBridge_Task_8_Dataset_1[#All],2,FALSE)</f>
        <v>Office Chair</v>
      </c>
      <c r="H76" t="str">
        <f>VLOOKUP(F76,Table_TechBridge_Task_8_Dataset_1[#All],3,FALSE)</f>
        <v>Furniture</v>
      </c>
      <c r="I76" s="13">
        <v>1</v>
      </c>
      <c r="J76" s="4">
        <f>VLOOKUP(F76,Table_TechBridge_Task_8_Dataset_1[#All],4,FALSE)</f>
        <v>95000</v>
      </c>
      <c r="K76" s="4">
        <v>0</v>
      </c>
      <c r="L76" s="5" t="s">
        <v>134</v>
      </c>
      <c r="M76" s="4">
        <f t="shared" si="1"/>
        <v>95000</v>
      </c>
    </row>
    <row r="77" spans="1:13" x14ac:dyDescent="0.25">
      <c r="A77" t="s">
        <v>223</v>
      </c>
      <c r="B77" t="s">
        <v>41</v>
      </c>
      <c r="C77" t="str">
        <f>VLOOKUP(B77,Table_TechBridge_Task_8_Dataset[#All],2,FALSE)</f>
        <v>Joy Akpan</v>
      </c>
      <c r="D77" t="str">
        <f>VLOOKUP(B77,Table_TechBridge_Task_8_Dataset[#All],3,FALSE)</f>
        <v>Uyo</v>
      </c>
      <c r="E77" t="str">
        <f>VLOOKUP(B77,Table_TechBridge_Task_8_Dataset[#All],4,FALSE)</f>
        <v>Retail</v>
      </c>
      <c r="F77" t="s">
        <v>84</v>
      </c>
      <c r="G77" t="str">
        <f>VLOOKUP(F77,Table_TechBridge_Task_8_Dataset_1[#All],2,FALSE)</f>
        <v>Tablet</v>
      </c>
      <c r="H77" t="str">
        <f>VLOOKUP(F77,Table_TechBridge_Task_8_Dataset_1[#All],3,FALSE)</f>
        <v>Electronics</v>
      </c>
      <c r="I77" s="13">
        <v>2</v>
      </c>
      <c r="J77" s="4">
        <f>VLOOKUP(F77,Table_TechBridge_Task_8_Dataset_1[#All],4,FALSE)</f>
        <v>220000</v>
      </c>
      <c r="K77" s="4">
        <v>0</v>
      </c>
      <c r="L77" s="5" t="s">
        <v>136</v>
      </c>
      <c r="M77" s="4">
        <f t="shared" si="1"/>
        <v>440000</v>
      </c>
    </row>
    <row r="78" spans="1:13" x14ac:dyDescent="0.25">
      <c r="A78" t="s">
        <v>224</v>
      </c>
      <c r="B78" t="s">
        <v>58</v>
      </c>
      <c r="C78" t="str">
        <f>VLOOKUP(B78,Table_TechBridge_Task_8_Dataset[#All],2,FALSE)</f>
        <v>Tunde Adebayo</v>
      </c>
      <c r="D78" t="str">
        <f>VLOOKUP(B78,Table_TechBridge_Task_8_Dataset[#All],3,FALSE)</f>
        <v>Ibadan</v>
      </c>
      <c r="E78" t="str">
        <f>VLOOKUP(B78,Table_TechBridge_Task_8_Dataset[#All],4,FALSE)</f>
        <v>Corporate</v>
      </c>
      <c r="F78" t="s">
        <v>67</v>
      </c>
      <c r="G78" t="str">
        <f>VLOOKUP(F78,Table_TechBridge_Task_8_Dataset_1[#All],2,FALSE)</f>
        <v>Monitor</v>
      </c>
      <c r="H78" t="str">
        <f>VLOOKUP(F78,Table_TechBridge_Task_8_Dataset_1[#All],3,FALSE)</f>
        <v>Electronics</v>
      </c>
      <c r="I78" s="13">
        <v>3</v>
      </c>
      <c r="J78" s="4">
        <f>VLOOKUP(F78,Table_TechBridge_Task_8_Dataset_1[#All],4,FALSE)</f>
        <v>180000</v>
      </c>
      <c r="K78" s="4">
        <v>0.1</v>
      </c>
      <c r="L78" s="5" t="s">
        <v>138</v>
      </c>
      <c r="M78" s="4">
        <f t="shared" si="1"/>
        <v>486000</v>
      </c>
    </row>
    <row r="79" spans="1:13" x14ac:dyDescent="0.25">
      <c r="A79" t="s">
        <v>225</v>
      </c>
      <c r="B79" t="s">
        <v>25</v>
      </c>
      <c r="C79" t="str">
        <f>VLOOKUP(B79,Table_TechBridge_Task_8_Dataset[#All],2,FALSE)</f>
        <v>Fatima Musa</v>
      </c>
      <c r="D79" t="str">
        <f>VLOOKUP(B79,Table_TechBridge_Task_8_Dataset[#All],3,FALSE)</f>
        <v>Kaduna</v>
      </c>
      <c r="E79" t="str">
        <f>VLOOKUP(B79,Table_TechBridge_Task_8_Dataset[#All],4,FALSE)</f>
        <v>Retail</v>
      </c>
      <c r="F79" t="s">
        <v>74</v>
      </c>
      <c r="G79" t="str">
        <f>VLOOKUP(F79,Table_TechBridge_Task_8_Dataset_1[#All],2,FALSE)</f>
        <v>Printer</v>
      </c>
      <c r="H79" t="str">
        <f>VLOOKUP(F79,Table_TechBridge_Task_8_Dataset_1[#All],3,FALSE)</f>
        <v>Office Equipment</v>
      </c>
      <c r="I79" s="13">
        <v>4</v>
      </c>
      <c r="J79" s="4">
        <f>VLOOKUP(F79,Table_TechBridge_Task_8_Dataset_1[#All],4,FALSE)</f>
        <v>120000</v>
      </c>
      <c r="K79" s="4">
        <v>0</v>
      </c>
      <c r="L79" s="5" t="s">
        <v>140</v>
      </c>
      <c r="M79" s="4">
        <f t="shared" si="1"/>
        <v>480000</v>
      </c>
    </row>
    <row r="80" spans="1:13" x14ac:dyDescent="0.25">
      <c r="A80" t="s">
        <v>226</v>
      </c>
      <c r="B80" t="s">
        <v>44</v>
      </c>
      <c r="C80" t="str">
        <f>VLOOKUP(B80,Table_TechBridge_Task_8_Dataset[#All],2,FALSE)</f>
        <v>Michael Joseph</v>
      </c>
      <c r="D80" t="str">
        <f>VLOOKUP(B80,Table_TechBridge_Task_8_Dataset[#All],3,FALSE)</f>
        <v>Calabar</v>
      </c>
      <c r="E80" t="str">
        <f>VLOOKUP(B80,Table_TechBridge_Task_8_Dataset[#All],4,FALSE)</f>
        <v>Wholesale</v>
      </c>
      <c r="F80" t="s">
        <v>82</v>
      </c>
      <c r="G80" t="str">
        <f>VLOOKUP(F80,Table_TechBridge_Task_8_Dataset_1[#All],2,FALSE)</f>
        <v>Headset</v>
      </c>
      <c r="H80" t="str">
        <f>VLOOKUP(F80,Table_TechBridge_Task_8_Dataset_1[#All],3,FALSE)</f>
        <v>Accessories</v>
      </c>
      <c r="I80" s="13">
        <v>5</v>
      </c>
      <c r="J80" s="4">
        <f>VLOOKUP(F80,Table_TechBridge_Task_8_Dataset_1[#All],4,FALSE)</f>
        <v>25000</v>
      </c>
      <c r="K80" s="4">
        <v>0</v>
      </c>
      <c r="L80" s="5" t="s">
        <v>142</v>
      </c>
      <c r="M80" s="4">
        <f t="shared" si="1"/>
        <v>125000</v>
      </c>
    </row>
    <row r="81" spans="1:13" x14ac:dyDescent="0.25">
      <c r="A81" t="s">
        <v>229</v>
      </c>
      <c r="B81" t="s">
        <v>28</v>
      </c>
      <c r="C81" t="str">
        <f>VLOOKUP(B81,Table_TechBridge_Task_8_Dataset[#All],2,FALSE)</f>
        <v>Emeka Nwosu</v>
      </c>
      <c r="D81" t="str">
        <f>VLOOKUP(B81,Table_TechBridge_Task_8_Dataset[#All],3,FALSE)</f>
        <v>Enugu</v>
      </c>
      <c r="E81" t="str">
        <f>VLOOKUP(B81,Table_TechBridge_Task_8_Dataset[#All],4,FALSE)</f>
        <v>Corporate</v>
      </c>
      <c r="F81" t="s">
        <v>72</v>
      </c>
      <c r="G81" t="str">
        <f>VLOOKUP(F81,Table_TechBridge_Task_8_Dataset_1[#All],2,FALSE)</f>
        <v>Mouse</v>
      </c>
      <c r="H81" t="str">
        <f>VLOOKUP(F81,Table_TechBridge_Task_8_Dataset_1[#All],3,FALSE)</f>
        <v>Accessories</v>
      </c>
      <c r="I81" s="13">
        <v>2</v>
      </c>
      <c r="J81" s="4">
        <f>VLOOKUP(F81,Table_TechBridge_Task_8_Dataset_1[#All],4,FALSE)</f>
        <v>8000</v>
      </c>
      <c r="K81" s="4">
        <v>0</v>
      </c>
      <c r="L81" s="5" t="s">
        <v>146</v>
      </c>
      <c r="M81" s="4">
        <f t="shared" si="1"/>
        <v>16000</v>
      </c>
    </row>
    <row r="82" spans="1:13" x14ac:dyDescent="0.25">
      <c r="A82" t="s">
        <v>230</v>
      </c>
      <c r="B82" t="s">
        <v>47</v>
      </c>
      <c r="C82" t="str">
        <f>VLOOKUP(B82,Table_TechBridge_Task_8_Dataset[#All],2,FALSE)</f>
        <v>Ruth Daniel</v>
      </c>
      <c r="D82" t="str">
        <f>VLOOKUP(B82,Table_TechBridge_Task_8_Dataset[#All],3,FALSE)</f>
        <v>Lagos</v>
      </c>
      <c r="E82" t="str">
        <f>VLOOKUP(B82,Table_TechBridge_Task_8_Dataset[#All],4,FALSE)</f>
        <v>Corporate</v>
      </c>
      <c r="F82" t="s">
        <v>80</v>
      </c>
      <c r="G82" t="str">
        <f>VLOOKUP(F82,Table_TechBridge_Task_8_Dataset_1[#All],2,FALSE)</f>
        <v>Desk</v>
      </c>
      <c r="H82" t="str">
        <f>VLOOKUP(F82,Table_TechBridge_Task_8_Dataset_1[#All],3,FALSE)</f>
        <v>Furniture</v>
      </c>
      <c r="I82" s="13">
        <v>3</v>
      </c>
      <c r="J82" s="4">
        <f>VLOOKUP(F82,Table_TechBridge_Task_8_Dataset_1[#All],4,FALSE)</f>
        <v>140000</v>
      </c>
      <c r="K82" s="4">
        <v>0</v>
      </c>
      <c r="L82" s="5" t="s">
        <v>148</v>
      </c>
      <c r="M82" s="4">
        <f t="shared" si="1"/>
        <v>420000</v>
      </c>
    </row>
    <row r="83" spans="1:13" x14ac:dyDescent="0.25">
      <c r="A83" t="s">
        <v>231</v>
      </c>
      <c r="B83" t="s">
        <v>8</v>
      </c>
      <c r="C83" t="str">
        <f>VLOOKUP(B83,Table_TechBridge_Task_8_Dataset[#All],2,FALSE)</f>
        <v>Daniel Okafor</v>
      </c>
      <c r="D83" t="str">
        <f>VLOOKUP(B83,Table_TechBridge_Task_8_Dataset[#All],3,FALSE)</f>
        <v>Abuja</v>
      </c>
      <c r="E83" t="str">
        <f>VLOOKUP(B83,Table_TechBridge_Task_8_Dataset[#All],4,FALSE)</f>
        <v>Corporate</v>
      </c>
      <c r="F83" t="s">
        <v>86</v>
      </c>
      <c r="G83" t="str">
        <f>VLOOKUP(F83,Table_TechBridge_Task_8_Dataset_1[#All],2,FALSE)</f>
        <v>External Drive</v>
      </c>
      <c r="H83" t="str">
        <f>VLOOKUP(F83,Table_TechBridge_Task_8_Dataset_1[#All],3,FALSE)</f>
        <v>Electronics</v>
      </c>
      <c r="I83" s="13">
        <v>4</v>
      </c>
      <c r="J83" s="4">
        <f>VLOOKUP(F83,Table_TechBridge_Task_8_Dataset_1[#All],4,FALSE)</f>
        <v>75000</v>
      </c>
      <c r="K83" s="4">
        <v>0</v>
      </c>
      <c r="L83" s="5" t="s">
        <v>150</v>
      </c>
      <c r="M83" s="4">
        <f t="shared" si="1"/>
        <v>300000</v>
      </c>
    </row>
    <row r="84" spans="1:13" x14ac:dyDescent="0.25">
      <c r="A84" t="s">
        <v>232</v>
      </c>
      <c r="B84" t="s">
        <v>31</v>
      </c>
      <c r="C84" t="str">
        <f>VLOOKUP(B84,Table_TechBridge_Task_8_Dataset[#All],2,FALSE)</f>
        <v>Blessing Ojo</v>
      </c>
      <c r="D84" t="str">
        <f>VLOOKUP(B84,Table_TechBridge_Task_8_Dataset[#All],3,FALSE)</f>
        <v>Lagos</v>
      </c>
      <c r="E84" t="str">
        <f>VLOOKUP(B84,Table_TechBridge_Task_8_Dataset[#All],4,FALSE)</f>
        <v>Wholesale</v>
      </c>
      <c r="F84" t="s">
        <v>69</v>
      </c>
      <c r="G84" t="str">
        <f>VLOOKUP(F84,Table_TechBridge_Task_8_Dataset_1[#All],2,FALSE)</f>
        <v>Keyboard</v>
      </c>
      <c r="H84" t="str">
        <f>VLOOKUP(F84,Table_TechBridge_Task_8_Dataset_1[#All],3,FALSE)</f>
        <v>Accessories</v>
      </c>
      <c r="I84" s="13">
        <v>5</v>
      </c>
      <c r="J84" s="4">
        <f>VLOOKUP(F84,Table_TechBridge_Task_8_Dataset_1[#All],4,FALSE)</f>
        <v>15000</v>
      </c>
      <c r="K84" s="4">
        <v>0.05</v>
      </c>
      <c r="L84" s="5" t="s">
        <v>152</v>
      </c>
      <c r="M84" s="4">
        <f t="shared" si="1"/>
        <v>71250</v>
      </c>
    </row>
    <row r="85" spans="1:13" x14ac:dyDescent="0.25">
      <c r="A85" t="s">
        <v>233</v>
      </c>
      <c r="B85" t="s">
        <v>49</v>
      </c>
      <c r="C85" t="str">
        <f>VLOOKUP(B85,Table_TechBridge_Task_8_Dataset[#All],2,FALSE)</f>
        <v>Peter Williams</v>
      </c>
      <c r="D85" t="str">
        <f>VLOOKUP(B85,Table_TechBridge_Task_8_Dataset[#All],3,FALSE)</f>
        <v>Abeokuta</v>
      </c>
      <c r="E85" t="str">
        <f>VLOOKUP(B85,Table_TechBridge_Task_8_Dataset[#All],4,FALSE)</f>
        <v>Retail</v>
      </c>
      <c r="F85" t="s">
        <v>77</v>
      </c>
      <c r="G85" t="str">
        <f>VLOOKUP(F85,Table_TechBridge_Task_8_Dataset_1[#All],2,FALSE)</f>
        <v>Office Chair</v>
      </c>
      <c r="H85" t="str">
        <f>VLOOKUP(F85,Table_TechBridge_Task_8_Dataset_1[#All],3,FALSE)</f>
        <v>Furniture</v>
      </c>
      <c r="I85" s="13">
        <v>1</v>
      </c>
      <c r="J85" s="4">
        <f>VLOOKUP(F85,Table_TechBridge_Task_8_Dataset_1[#All],4,FALSE)</f>
        <v>95000</v>
      </c>
      <c r="K85" s="4">
        <v>0</v>
      </c>
      <c r="L85" s="5" t="s">
        <v>154</v>
      </c>
      <c r="M85" s="4">
        <f t="shared" si="1"/>
        <v>95000</v>
      </c>
    </row>
    <row r="86" spans="1:13" x14ac:dyDescent="0.25">
      <c r="A86" t="s">
        <v>234</v>
      </c>
      <c r="B86" t="s">
        <v>12</v>
      </c>
      <c r="C86" t="str">
        <f>VLOOKUP(B86,Table_TechBridge_Task_8_Dataset[#All],2,FALSE)</f>
        <v>Mariam Yusuf</v>
      </c>
      <c r="D86" t="str">
        <f>VLOOKUP(B86,Table_TechBridge_Task_8_Dataset[#All],3,FALSE)</f>
        <v>Kano</v>
      </c>
      <c r="E86" t="str">
        <f>VLOOKUP(B86,Table_TechBridge_Task_8_Dataset[#All],4,FALSE)</f>
        <v>Retail</v>
      </c>
      <c r="F86" t="s">
        <v>84</v>
      </c>
      <c r="G86" t="str">
        <f>VLOOKUP(F86,Table_TechBridge_Task_8_Dataset_1[#All],2,FALSE)</f>
        <v>Tablet</v>
      </c>
      <c r="H86" t="str">
        <f>VLOOKUP(F86,Table_TechBridge_Task_8_Dataset_1[#All],3,FALSE)</f>
        <v>Electronics</v>
      </c>
      <c r="I86" s="13">
        <v>2</v>
      </c>
      <c r="J86" s="4">
        <f>VLOOKUP(F86,Table_TechBridge_Task_8_Dataset_1[#All],4,FALSE)</f>
        <v>220000</v>
      </c>
      <c r="K86" s="4">
        <v>0</v>
      </c>
      <c r="L86" s="5" t="s">
        <v>156</v>
      </c>
      <c r="M86" s="4">
        <f t="shared" si="1"/>
        <v>440000</v>
      </c>
    </row>
    <row r="87" spans="1:13" x14ac:dyDescent="0.25">
      <c r="A87" t="s">
        <v>235</v>
      </c>
      <c r="B87" t="s">
        <v>33</v>
      </c>
      <c r="C87" t="str">
        <f>VLOOKUP(B87,Table_TechBridge_Task_8_Dataset[#All],2,FALSE)</f>
        <v>Ibrahim Sani</v>
      </c>
      <c r="D87" t="str">
        <f>VLOOKUP(B87,Table_TechBridge_Task_8_Dataset[#All],3,FALSE)</f>
        <v>Abuja</v>
      </c>
      <c r="E87" t="str">
        <f>VLOOKUP(B87,Table_TechBridge_Task_8_Dataset[#All],4,FALSE)</f>
        <v>Retail</v>
      </c>
      <c r="F87" t="s">
        <v>67</v>
      </c>
      <c r="G87" t="str">
        <f>VLOOKUP(F87,Table_TechBridge_Task_8_Dataset_1[#All],2,FALSE)</f>
        <v>Monitor</v>
      </c>
      <c r="H87" t="str">
        <f>VLOOKUP(F87,Table_TechBridge_Task_8_Dataset_1[#All],3,FALSE)</f>
        <v>Electronics</v>
      </c>
      <c r="I87" s="13">
        <v>3</v>
      </c>
      <c r="J87" s="4">
        <f>VLOOKUP(F87,Table_TechBridge_Task_8_Dataset_1[#All],4,FALSE)</f>
        <v>180000</v>
      </c>
      <c r="K87" s="4">
        <v>0</v>
      </c>
      <c r="L87" s="5" t="s">
        <v>158</v>
      </c>
      <c r="M87" s="4">
        <f t="shared" si="1"/>
        <v>540000</v>
      </c>
    </row>
    <row r="88" spans="1:13" x14ac:dyDescent="0.25">
      <c r="A88" t="s">
        <v>236</v>
      </c>
      <c r="B88" t="s">
        <v>52</v>
      </c>
      <c r="C88" t="str">
        <f>VLOOKUP(B88,Table_TechBridge_Task_8_Dataset[#All],2,FALSE)</f>
        <v>Hauwa Ali</v>
      </c>
      <c r="D88" t="str">
        <f>VLOOKUP(B88,Table_TechBridge_Task_8_Dataset[#All],3,FALSE)</f>
        <v>Kano</v>
      </c>
      <c r="E88" t="str">
        <f>VLOOKUP(B88,Table_TechBridge_Task_8_Dataset[#All],4,FALSE)</f>
        <v>Corporate</v>
      </c>
      <c r="F88" t="s">
        <v>74</v>
      </c>
      <c r="G88" t="str">
        <f>VLOOKUP(F88,Table_TechBridge_Task_8_Dataset_1[#All],2,FALSE)</f>
        <v>Printer</v>
      </c>
      <c r="H88" t="str">
        <f>VLOOKUP(F88,Table_TechBridge_Task_8_Dataset_1[#All],3,FALSE)</f>
        <v>Office Equipment</v>
      </c>
      <c r="I88" s="13">
        <v>4</v>
      </c>
      <c r="J88" s="4">
        <f>VLOOKUP(F88,Table_TechBridge_Task_8_Dataset_1[#All],4,FALSE)</f>
        <v>120000</v>
      </c>
      <c r="K88" s="4">
        <v>0.1</v>
      </c>
      <c r="L88" s="5" t="s">
        <v>160</v>
      </c>
      <c r="M88" s="4">
        <f t="shared" si="1"/>
        <v>432000</v>
      </c>
    </row>
    <row r="89" spans="1:13" x14ac:dyDescent="0.25">
      <c r="A89" t="s">
        <v>237</v>
      </c>
      <c r="B89" t="s">
        <v>15</v>
      </c>
      <c r="C89" t="str">
        <f>VLOOKUP(B89,Table_TechBridge_Task_8_Dataset[#All],2,FALSE)</f>
        <v>Chinedu Obi</v>
      </c>
      <c r="D89" t="str">
        <f>VLOOKUP(B89,Table_TechBridge_Task_8_Dataset[#All],3,FALSE)</f>
        <v>Port Harcourt</v>
      </c>
      <c r="E89" t="str">
        <f>VLOOKUP(B89,Table_TechBridge_Task_8_Dataset[#All],4,FALSE)</f>
        <v>Corporate</v>
      </c>
      <c r="F89" t="s">
        <v>82</v>
      </c>
      <c r="G89" t="str">
        <f>VLOOKUP(F89,Table_TechBridge_Task_8_Dataset_1[#All],2,FALSE)</f>
        <v>Headset</v>
      </c>
      <c r="H89" t="str">
        <f>VLOOKUP(F89,Table_TechBridge_Task_8_Dataset_1[#All],3,FALSE)</f>
        <v>Accessories</v>
      </c>
      <c r="I89" s="13">
        <v>5</v>
      </c>
      <c r="J89" s="4">
        <f>VLOOKUP(F89,Table_TechBridge_Task_8_Dataset_1[#All],4,FALSE)</f>
        <v>25000</v>
      </c>
      <c r="K89" s="4">
        <v>0</v>
      </c>
      <c r="L89" s="5" t="s">
        <v>162</v>
      </c>
      <c r="M89" s="4">
        <f t="shared" si="1"/>
        <v>125000</v>
      </c>
    </row>
    <row r="90" spans="1:13" x14ac:dyDescent="0.25">
      <c r="A90" t="s">
        <v>238</v>
      </c>
      <c r="B90" t="s">
        <v>35</v>
      </c>
      <c r="C90" t="str">
        <f>VLOOKUP(B90,Table_TechBridge_Task_8_Dataset[#All],2,FALSE)</f>
        <v>Esther James</v>
      </c>
      <c r="D90" t="str">
        <f>VLOOKUP(B90,Table_TechBridge_Task_8_Dataset[#All],3,FALSE)</f>
        <v>Warri</v>
      </c>
      <c r="E90" t="str">
        <f>VLOOKUP(B90,Table_TechBridge_Task_8_Dataset[#All],4,FALSE)</f>
        <v>Retail</v>
      </c>
      <c r="F90" t="s">
        <v>64</v>
      </c>
      <c r="G90" t="str">
        <f>VLOOKUP(F90,Table_TechBridge_Task_8_Dataset_1[#All],2,FALSE)</f>
        <v>Laptop</v>
      </c>
      <c r="H90" t="str">
        <f>VLOOKUP(F90,Table_TechBridge_Task_8_Dataset_1[#All],3,FALSE)</f>
        <v>Electronics</v>
      </c>
      <c r="I90" s="13">
        <v>1</v>
      </c>
      <c r="J90" s="4">
        <f>VLOOKUP(F90,Table_TechBridge_Task_8_Dataset_1[#All],4,FALSE)</f>
        <v>450000</v>
      </c>
      <c r="K90" s="4">
        <v>0</v>
      </c>
      <c r="L90" s="5" t="s">
        <v>164</v>
      </c>
      <c r="M90" s="4">
        <f t="shared" si="1"/>
        <v>450000</v>
      </c>
    </row>
    <row r="91" spans="1:13" x14ac:dyDescent="0.25">
      <c r="A91" t="s">
        <v>239</v>
      </c>
      <c r="B91" t="s">
        <v>54</v>
      </c>
      <c r="C91" t="str">
        <f>VLOOKUP(B91,Table_TechBridge_Task_8_Dataset[#All],2,FALSE)</f>
        <v>Kelvin George</v>
      </c>
      <c r="D91" t="str">
        <f>VLOOKUP(B91,Table_TechBridge_Task_8_Dataset[#All],3,FALSE)</f>
        <v>Port Harcourt</v>
      </c>
      <c r="E91" t="str">
        <f>VLOOKUP(B91,Table_TechBridge_Task_8_Dataset[#All],4,FALSE)</f>
        <v>Retail</v>
      </c>
      <c r="F91" t="s">
        <v>72</v>
      </c>
      <c r="G91" t="str">
        <f>VLOOKUP(F91,Table_TechBridge_Task_8_Dataset_1[#All],2,FALSE)</f>
        <v>Mouse</v>
      </c>
      <c r="H91" t="str">
        <f>VLOOKUP(F91,Table_TechBridge_Task_8_Dataset_1[#All],3,FALSE)</f>
        <v>Accessories</v>
      </c>
      <c r="I91" s="13">
        <v>2</v>
      </c>
      <c r="J91" s="4">
        <f>VLOOKUP(F91,Table_TechBridge_Task_8_Dataset_1[#All],4,FALSE)</f>
        <v>8000</v>
      </c>
      <c r="K91" s="4">
        <v>0.05</v>
      </c>
      <c r="L91" s="5" t="s">
        <v>166</v>
      </c>
      <c r="M91" s="4">
        <f t="shared" si="1"/>
        <v>15200</v>
      </c>
    </row>
    <row r="92" spans="1:13" x14ac:dyDescent="0.25">
      <c r="A92" t="s">
        <v>240</v>
      </c>
      <c r="B92" t="s">
        <v>18</v>
      </c>
      <c r="C92" t="str">
        <f>VLOOKUP(B92,Table_TechBridge_Task_8_Dataset[#All],2,FALSE)</f>
        <v>Grace Eze</v>
      </c>
      <c r="D92" t="str">
        <f>VLOOKUP(B92,Table_TechBridge_Task_8_Dataset[#All],3,FALSE)</f>
        <v>Benin City</v>
      </c>
      <c r="E92" t="str">
        <f>VLOOKUP(B92,Table_TechBridge_Task_8_Dataset[#All],4,FALSE)</f>
        <v>Retail</v>
      </c>
      <c r="F92" t="s">
        <v>80</v>
      </c>
      <c r="G92" t="str">
        <f>VLOOKUP(F92,Table_TechBridge_Task_8_Dataset_1[#All],2,FALSE)</f>
        <v>Desk</v>
      </c>
      <c r="H92" t="str">
        <f>VLOOKUP(F92,Table_TechBridge_Task_8_Dataset_1[#All],3,FALSE)</f>
        <v>Furniture</v>
      </c>
      <c r="I92" s="13">
        <v>3</v>
      </c>
      <c r="J92" s="4">
        <f>VLOOKUP(F92,Table_TechBridge_Task_8_Dataset_1[#All],4,FALSE)</f>
        <v>140000</v>
      </c>
      <c r="K92" s="4">
        <v>0</v>
      </c>
      <c r="L92" s="5" t="s">
        <v>168</v>
      </c>
      <c r="M92" s="4">
        <f t="shared" si="1"/>
        <v>420000</v>
      </c>
    </row>
    <row r="93" spans="1:13" x14ac:dyDescent="0.25">
      <c r="A93" t="s">
        <v>241</v>
      </c>
      <c r="B93" t="s">
        <v>38</v>
      </c>
      <c r="C93" t="str">
        <f>VLOOKUP(B93,Table_TechBridge_Task_8_Dataset[#All],2,FALSE)</f>
        <v>David Umeh</v>
      </c>
      <c r="D93" t="str">
        <f>VLOOKUP(B93,Table_TechBridge_Task_8_Dataset[#All],3,FALSE)</f>
        <v>Asaba</v>
      </c>
      <c r="E93" t="str">
        <f>VLOOKUP(B93,Table_TechBridge_Task_8_Dataset[#All],4,FALSE)</f>
        <v>Corporate</v>
      </c>
      <c r="F93" t="s">
        <v>86</v>
      </c>
      <c r="G93" t="str">
        <f>VLOOKUP(F93,Table_TechBridge_Task_8_Dataset_1[#All],2,FALSE)</f>
        <v>External Drive</v>
      </c>
      <c r="H93" t="str">
        <f>VLOOKUP(F93,Table_TechBridge_Task_8_Dataset_1[#All],3,FALSE)</f>
        <v>Electronics</v>
      </c>
      <c r="I93" s="13">
        <v>4</v>
      </c>
      <c r="J93" s="4">
        <f>VLOOKUP(F93,Table_TechBridge_Task_8_Dataset_1[#All],4,FALSE)</f>
        <v>75000</v>
      </c>
      <c r="K93" s="4">
        <v>0</v>
      </c>
      <c r="L93" s="5" t="s">
        <v>170</v>
      </c>
      <c r="M93" s="4">
        <f t="shared" si="1"/>
        <v>300000</v>
      </c>
    </row>
    <row r="94" spans="1:13" x14ac:dyDescent="0.25">
      <c r="A94" t="s">
        <v>242</v>
      </c>
      <c r="B94" t="s">
        <v>56</v>
      </c>
      <c r="C94" t="str">
        <f>VLOOKUP(B94,Table_TechBridge_Task_8_Dataset[#All],2,FALSE)</f>
        <v>Mercy John</v>
      </c>
      <c r="D94" t="str">
        <f>VLOOKUP(B94,Table_TechBridge_Task_8_Dataset[#All],3,FALSE)</f>
        <v>Benin City</v>
      </c>
      <c r="E94" t="str">
        <f>VLOOKUP(B94,Table_TechBridge_Task_8_Dataset[#All],4,FALSE)</f>
        <v>Wholesale</v>
      </c>
      <c r="F94" t="s">
        <v>69</v>
      </c>
      <c r="G94" t="str">
        <f>VLOOKUP(F94,Table_TechBridge_Task_8_Dataset_1[#All],2,FALSE)</f>
        <v>Keyboard</v>
      </c>
      <c r="H94" t="str">
        <f>VLOOKUP(F94,Table_TechBridge_Task_8_Dataset_1[#All],3,FALSE)</f>
        <v>Accessories</v>
      </c>
      <c r="I94" s="13">
        <v>5</v>
      </c>
      <c r="J94" s="4">
        <f>VLOOKUP(F94,Table_TechBridge_Task_8_Dataset_1[#All],4,FALSE)</f>
        <v>15000</v>
      </c>
      <c r="K94" s="4">
        <v>0</v>
      </c>
      <c r="L94" s="5" t="s">
        <v>173</v>
      </c>
      <c r="M94" s="4">
        <f t="shared" si="1"/>
        <v>75000</v>
      </c>
    </row>
    <row r="95" spans="1:13" x14ac:dyDescent="0.25">
      <c r="A95" t="s">
        <v>243</v>
      </c>
      <c r="B95" t="s">
        <v>21</v>
      </c>
      <c r="C95" t="str">
        <f>VLOOKUP(B95,Table_TechBridge_Task_8_Dataset[#All],2,FALSE)</f>
        <v>Samuel Adeyemi</v>
      </c>
      <c r="D95" t="str">
        <f>VLOOKUP(B95,Table_TechBridge_Task_8_Dataset[#All],3,FALSE)</f>
        <v>Ibadan</v>
      </c>
      <c r="E95" t="str">
        <f>VLOOKUP(B95,Table_TechBridge_Task_8_Dataset[#All],4,FALSE)</f>
        <v>Wholesale</v>
      </c>
      <c r="F95" t="s">
        <v>77</v>
      </c>
      <c r="G95" t="str">
        <f>VLOOKUP(F95,Table_TechBridge_Task_8_Dataset_1[#All],2,FALSE)</f>
        <v>Office Chair</v>
      </c>
      <c r="H95" t="str">
        <f>VLOOKUP(F95,Table_TechBridge_Task_8_Dataset_1[#All],3,FALSE)</f>
        <v>Furniture</v>
      </c>
      <c r="I95" s="13">
        <v>1</v>
      </c>
      <c r="J95" s="4">
        <f>VLOOKUP(F95,Table_TechBridge_Task_8_Dataset_1[#All],4,FALSE)</f>
        <v>95000</v>
      </c>
      <c r="K95" s="4">
        <v>0</v>
      </c>
      <c r="L95" s="5" t="s">
        <v>175</v>
      </c>
      <c r="M95" s="4">
        <f t="shared" si="1"/>
        <v>95000</v>
      </c>
    </row>
    <row r="96" spans="1:13" x14ac:dyDescent="0.25">
      <c r="A96" t="s">
        <v>244</v>
      </c>
      <c r="B96" t="s">
        <v>41</v>
      </c>
      <c r="C96" t="str">
        <f>VLOOKUP(B96,Table_TechBridge_Task_8_Dataset[#All],2,FALSE)</f>
        <v>Joy Akpan</v>
      </c>
      <c r="D96" t="str">
        <f>VLOOKUP(B96,Table_TechBridge_Task_8_Dataset[#All],3,FALSE)</f>
        <v>Uyo</v>
      </c>
      <c r="E96" t="str">
        <f>VLOOKUP(B96,Table_TechBridge_Task_8_Dataset[#All],4,FALSE)</f>
        <v>Retail</v>
      </c>
      <c r="F96" t="s">
        <v>84</v>
      </c>
      <c r="G96" t="str">
        <f>VLOOKUP(F96,Table_TechBridge_Task_8_Dataset_1[#All],2,FALSE)</f>
        <v>Tablet</v>
      </c>
      <c r="H96" t="str">
        <f>VLOOKUP(F96,Table_TechBridge_Task_8_Dataset_1[#All],3,FALSE)</f>
        <v>Electronics</v>
      </c>
      <c r="I96" s="13">
        <v>2</v>
      </c>
      <c r="J96" s="4">
        <f>VLOOKUP(F96,Table_TechBridge_Task_8_Dataset_1[#All],4,FALSE)</f>
        <v>220000</v>
      </c>
      <c r="K96" s="4">
        <v>0</v>
      </c>
      <c r="L96" s="5" t="s">
        <v>177</v>
      </c>
      <c r="M96" s="4">
        <f t="shared" si="1"/>
        <v>440000</v>
      </c>
    </row>
    <row r="97" spans="1:13" x14ac:dyDescent="0.25">
      <c r="A97" t="s">
        <v>245</v>
      </c>
      <c r="B97" t="s">
        <v>58</v>
      </c>
      <c r="C97" t="str">
        <f>VLOOKUP(B97,Table_TechBridge_Task_8_Dataset[#All],2,FALSE)</f>
        <v>Tunde Adebayo</v>
      </c>
      <c r="D97" t="str">
        <f>VLOOKUP(B97,Table_TechBridge_Task_8_Dataset[#All],3,FALSE)</f>
        <v>Ibadan</v>
      </c>
      <c r="E97" t="str">
        <f>VLOOKUP(B97,Table_TechBridge_Task_8_Dataset[#All],4,FALSE)</f>
        <v>Corporate</v>
      </c>
      <c r="F97" t="s">
        <v>67</v>
      </c>
      <c r="G97" t="str">
        <f>VLOOKUP(F97,Table_TechBridge_Task_8_Dataset_1[#All],2,FALSE)</f>
        <v>Monitor</v>
      </c>
      <c r="H97" t="str">
        <f>VLOOKUP(F97,Table_TechBridge_Task_8_Dataset_1[#All],3,FALSE)</f>
        <v>Electronics</v>
      </c>
      <c r="I97" s="13">
        <v>3</v>
      </c>
      <c r="J97" s="4">
        <f>VLOOKUP(F97,Table_TechBridge_Task_8_Dataset_1[#All],4,FALSE)</f>
        <v>180000</v>
      </c>
      <c r="K97" s="4">
        <v>0</v>
      </c>
      <c r="L97" s="5" t="s">
        <v>179</v>
      </c>
      <c r="M97" s="4">
        <f t="shared" si="1"/>
        <v>540000</v>
      </c>
    </row>
    <row r="98" spans="1:13" x14ac:dyDescent="0.25">
      <c r="A98" t="s">
        <v>246</v>
      </c>
      <c r="B98" t="s">
        <v>25</v>
      </c>
      <c r="C98" t="str">
        <f>VLOOKUP(B98,Table_TechBridge_Task_8_Dataset[#All],2,FALSE)</f>
        <v>Fatima Musa</v>
      </c>
      <c r="D98" t="str">
        <f>VLOOKUP(B98,Table_TechBridge_Task_8_Dataset[#All],3,FALSE)</f>
        <v>Kaduna</v>
      </c>
      <c r="E98" t="str">
        <f>VLOOKUP(B98,Table_TechBridge_Task_8_Dataset[#All],4,FALSE)</f>
        <v>Retail</v>
      </c>
      <c r="F98" t="s">
        <v>74</v>
      </c>
      <c r="G98" t="str">
        <f>VLOOKUP(F98,Table_TechBridge_Task_8_Dataset_1[#All],2,FALSE)</f>
        <v>Printer</v>
      </c>
      <c r="H98" t="str">
        <f>VLOOKUP(F98,Table_TechBridge_Task_8_Dataset_1[#All],3,FALSE)</f>
        <v>Office Equipment</v>
      </c>
      <c r="I98" s="13">
        <v>4</v>
      </c>
      <c r="J98" s="4">
        <f>VLOOKUP(F98,Table_TechBridge_Task_8_Dataset_1[#All],4,FALSE)</f>
        <v>120000</v>
      </c>
      <c r="K98" s="4">
        <v>0.05</v>
      </c>
      <c r="L98" s="5" t="s">
        <v>181</v>
      </c>
      <c r="M98" s="4">
        <f t="shared" si="1"/>
        <v>456000</v>
      </c>
    </row>
    <row r="99" spans="1:13" x14ac:dyDescent="0.25">
      <c r="A99" t="s">
        <v>247</v>
      </c>
      <c r="B99" t="s">
        <v>44</v>
      </c>
      <c r="C99" t="str">
        <f>VLOOKUP(B99,Table_TechBridge_Task_8_Dataset[#All],2,FALSE)</f>
        <v>Michael Joseph</v>
      </c>
      <c r="D99" t="str">
        <f>VLOOKUP(B99,Table_TechBridge_Task_8_Dataset[#All],3,FALSE)</f>
        <v>Calabar</v>
      </c>
      <c r="E99" t="str">
        <f>VLOOKUP(B99,Table_TechBridge_Task_8_Dataset[#All],4,FALSE)</f>
        <v>Wholesale</v>
      </c>
      <c r="F99" t="s">
        <v>82</v>
      </c>
      <c r="G99" t="str">
        <f>VLOOKUP(F99,Table_TechBridge_Task_8_Dataset_1[#All],2,FALSE)</f>
        <v>Headset</v>
      </c>
      <c r="H99" t="str">
        <f>VLOOKUP(F99,Table_TechBridge_Task_8_Dataset_1[#All],3,FALSE)</f>
        <v>Accessories</v>
      </c>
      <c r="I99" s="13">
        <v>5</v>
      </c>
      <c r="J99" s="4">
        <f>VLOOKUP(F99,Table_TechBridge_Task_8_Dataset_1[#All],4,FALSE)</f>
        <v>25000</v>
      </c>
      <c r="K99" s="4">
        <v>0.1</v>
      </c>
      <c r="L99" s="5" t="s">
        <v>183</v>
      </c>
      <c r="M99" s="4">
        <f t="shared" si="1"/>
        <v>112500</v>
      </c>
    </row>
    <row r="100" spans="1:13" x14ac:dyDescent="0.25">
      <c r="A100" t="s">
        <v>248</v>
      </c>
      <c r="B100" t="s">
        <v>4</v>
      </c>
      <c r="C100" t="str">
        <f>VLOOKUP(B100,Table_TechBridge_Task_8_Dataset[#All],2,FALSE)</f>
        <v>Aisha Bello</v>
      </c>
      <c r="D100" t="str">
        <f>VLOOKUP(B100,Table_TechBridge_Task_8_Dataset[#All],3,FALSE)</f>
        <v>Lagos</v>
      </c>
      <c r="E100" t="str">
        <f>VLOOKUP(B100,Table_TechBridge_Task_8_Dataset[#All],4,FALSE)</f>
        <v>Retail</v>
      </c>
      <c r="F100" t="s">
        <v>64</v>
      </c>
      <c r="G100" t="str">
        <f>VLOOKUP(F100,Table_TechBridge_Task_8_Dataset_1[#All],2,FALSE)</f>
        <v>Laptop</v>
      </c>
      <c r="H100" t="str">
        <f>VLOOKUP(F100,Table_TechBridge_Task_8_Dataset_1[#All],3,FALSE)</f>
        <v>Electronics</v>
      </c>
      <c r="I100" s="13">
        <v>1</v>
      </c>
      <c r="J100" s="4">
        <f>VLOOKUP(F100,Table_TechBridge_Task_8_Dataset_1[#All],4,FALSE)</f>
        <v>450000</v>
      </c>
      <c r="K100" s="4">
        <v>0</v>
      </c>
      <c r="L100" s="5" t="s">
        <v>185</v>
      </c>
      <c r="M100" s="4">
        <f t="shared" si="1"/>
        <v>450000</v>
      </c>
    </row>
    <row r="101" spans="1:13" x14ac:dyDescent="0.25">
      <c r="A101" t="s">
        <v>249</v>
      </c>
      <c r="B101" t="s">
        <v>28</v>
      </c>
      <c r="C101" t="str">
        <f>VLOOKUP(B101,Table_TechBridge_Task_8_Dataset[#All],2,FALSE)</f>
        <v>Emeka Nwosu</v>
      </c>
      <c r="D101" t="str">
        <f>VLOOKUP(B101,Table_TechBridge_Task_8_Dataset[#All],3,FALSE)</f>
        <v>Enugu</v>
      </c>
      <c r="E101" t="str">
        <f>VLOOKUP(B101,Table_TechBridge_Task_8_Dataset[#All],4,FALSE)</f>
        <v>Corporate</v>
      </c>
      <c r="F101" t="s">
        <v>72</v>
      </c>
      <c r="G101" t="str">
        <f>VLOOKUP(F101,Table_TechBridge_Task_8_Dataset_1[#All],2,FALSE)</f>
        <v>Mouse</v>
      </c>
      <c r="H101" t="str">
        <f>VLOOKUP(F101,Table_TechBridge_Task_8_Dataset_1[#All],3,FALSE)</f>
        <v>Accessories</v>
      </c>
      <c r="I101" s="13">
        <v>2</v>
      </c>
      <c r="J101" s="4">
        <f>VLOOKUP(F101,Table_TechBridge_Task_8_Dataset_1[#All],4,FALSE)</f>
        <v>8000</v>
      </c>
      <c r="K101" s="4">
        <v>0</v>
      </c>
      <c r="L101" s="5" t="s">
        <v>187</v>
      </c>
      <c r="M101" s="4">
        <f t="shared" si="1"/>
        <v>16000</v>
      </c>
    </row>
    <row r="102" spans="1:13" x14ac:dyDescent="0.25">
      <c r="A102" t="s">
        <v>250</v>
      </c>
      <c r="B102" t="s">
        <v>47</v>
      </c>
      <c r="C102" t="str">
        <f>VLOOKUP(B102,Table_TechBridge_Task_8_Dataset[#All],2,FALSE)</f>
        <v>Ruth Daniel</v>
      </c>
      <c r="D102" t="str">
        <f>VLOOKUP(B102,Table_TechBridge_Task_8_Dataset[#All],3,FALSE)</f>
        <v>Lagos</v>
      </c>
      <c r="E102" t="str">
        <f>VLOOKUP(B102,Table_TechBridge_Task_8_Dataset[#All],4,FALSE)</f>
        <v>Corporate</v>
      </c>
      <c r="F102" t="s">
        <v>80</v>
      </c>
      <c r="G102" t="str">
        <f>VLOOKUP(F102,Table_TechBridge_Task_8_Dataset_1[#All],2,FALSE)</f>
        <v>Desk</v>
      </c>
      <c r="H102" t="str">
        <f>VLOOKUP(F102,Table_TechBridge_Task_8_Dataset_1[#All],3,FALSE)</f>
        <v>Furniture</v>
      </c>
      <c r="I102" s="13">
        <v>3</v>
      </c>
      <c r="J102" s="4">
        <f>VLOOKUP(F102,Table_TechBridge_Task_8_Dataset_1[#All],4,FALSE)</f>
        <v>140000</v>
      </c>
      <c r="K102" s="4">
        <v>0</v>
      </c>
      <c r="L102" s="5" t="s">
        <v>189</v>
      </c>
      <c r="M102" s="4">
        <f t="shared" si="1"/>
        <v>420000</v>
      </c>
    </row>
    <row r="103" spans="1:13" x14ac:dyDescent="0.25">
      <c r="A103" t="s">
        <v>251</v>
      </c>
      <c r="B103" t="s">
        <v>8</v>
      </c>
      <c r="C103" t="str">
        <f>VLOOKUP(B103,Table_TechBridge_Task_8_Dataset[#All],2,FALSE)</f>
        <v>Daniel Okafor</v>
      </c>
      <c r="D103" t="str">
        <f>VLOOKUP(B103,Table_TechBridge_Task_8_Dataset[#All],3,FALSE)</f>
        <v>Abuja</v>
      </c>
      <c r="E103" t="str">
        <f>VLOOKUP(B103,Table_TechBridge_Task_8_Dataset[#All],4,FALSE)</f>
        <v>Corporate</v>
      </c>
      <c r="F103" t="s">
        <v>86</v>
      </c>
      <c r="G103" t="str">
        <f>VLOOKUP(F103,Table_TechBridge_Task_8_Dataset_1[#All],2,FALSE)</f>
        <v>External Drive</v>
      </c>
      <c r="H103" t="str">
        <f>VLOOKUP(F103,Table_TechBridge_Task_8_Dataset_1[#All],3,FALSE)</f>
        <v>Electronics</v>
      </c>
      <c r="I103" s="13">
        <v>4</v>
      </c>
      <c r="J103" s="4">
        <f>VLOOKUP(F103,Table_TechBridge_Task_8_Dataset_1[#All],4,FALSE)</f>
        <v>75000</v>
      </c>
      <c r="K103" s="4">
        <v>0</v>
      </c>
      <c r="L103" s="5" t="s">
        <v>191</v>
      </c>
      <c r="M103" s="4">
        <f t="shared" si="1"/>
        <v>300000</v>
      </c>
    </row>
    <row r="104" spans="1:13" x14ac:dyDescent="0.25">
      <c r="A104" t="s">
        <v>252</v>
      </c>
      <c r="B104" t="s">
        <v>31</v>
      </c>
      <c r="C104" t="str">
        <f>VLOOKUP(B104,Table_TechBridge_Task_8_Dataset[#All],2,FALSE)</f>
        <v>Blessing Ojo</v>
      </c>
      <c r="D104" t="str">
        <f>VLOOKUP(B104,Table_TechBridge_Task_8_Dataset[#All],3,FALSE)</f>
        <v>Lagos</v>
      </c>
      <c r="E104" t="str">
        <f>VLOOKUP(B104,Table_TechBridge_Task_8_Dataset[#All],4,FALSE)</f>
        <v>Wholesale</v>
      </c>
      <c r="F104" t="s">
        <v>69</v>
      </c>
      <c r="G104" t="str">
        <f>VLOOKUP(F104,Table_TechBridge_Task_8_Dataset_1[#All],2,FALSE)</f>
        <v>Keyboard</v>
      </c>
      <c r="H104" t="str">
        <f>VLOOKUP(F104,Table_TechBridge_Task_8_Dataset_1[#All],3,FALSE)</f>
        <v>Accessories</v>
      </c>
      <c r="I104" s="13">
        <v>5</v>
      </c>
      <c r="J104" s="4">
        <f>VLOOKUP(F104,Table_TechBridge_Task_8_Dataset_1[#All],4,FALSE)</f>
        <v>15000</v>
      </c>
      <c r="K104" s="4">
        <v>0</v>
      </c>
      <c r="L104" s="5" t="s">
        <v>193</v>
      </c>
      <c r="M104" s="4">
        <f t="shared" si="1"/>
        <v>75000</v>
      </c>
    </row>
    <row r="105" spans="1:13" x14ac:dyDescent="0.25">
      <c r="A105" t="s">
        <v>253</v>
      </c>
      <c r="B105" t="s">
        <v>49</v>
      </c>
      <c r="C105" t="str">
        <f>VLOOKUP(B105,Table_TechBridge_Task_8_Dataset[#All],2,FALSE)</f>
        <v>Peter Williams</v>
      </c>
      <c r="D105" t="str">
        <f>VLOOKUP(B105,Table_TechBridge_Task_8_Dataset[#All],3,FALSE)</f>
        <v>Abeokuta</v>
      </c>
      <c r="E105" t="str">
        <f>VLOOKUP(B105,Table_TechBridge_Task_8_Dataset[#All],4,FALSE)</f>
        <v>Retail</v>
      </c>
      <c r="F105" t="s">
        <v>77</v>
      </c>
      <c r="G105" t="str">
        <f>VLOOKUP(F105,Table_TechBridge_Task_8_Dataset_1[#All],2,FALSE)</f>
        <v>Office Chair</v>
      </c>
      <c r="H105" t="str">
        <f>VLOOKUP(F105,Table_TechBridge_Task_8_Dataset_1[#All],3,FALSE)</f>
        <v>Furniture</v>
      </c>
      <c r="I105" s="13">
        <v>1</v>
      </c>
      <c r="J105" s="4">
        <f>VLOOKUP(F105,Table_TechBridge_Task_8_Dataset_1[#All],4,FALSE)</f>
        <v>95000</v>
      </c>
      <c r="K105" s="4">
        <v>0.05</v>
      </c>
      <c r="L105" s="5" t="s">
        <v>195</v>
      </c>
      <c r="M105" s="4">
        <f t="shared" si="1"/>
        <v>90250</v>
      </c>
    </row>
    <row r="106" spans="1:13" x14ac:dyDescent="0.25">
      <c r="A106" t="s">
        <v>254</v>
      </c>
      <c r="B106" t="s">
        <v>12</v>
      </c>
      <c r="C106" t="str">
        <f>VLOOKUP(B106,Table_TechBridge_Task_8_Dataset[#All],2,FALSE)</f>
        <v>Mariam Yusuf</v>
      </c>
      <c r="D106" t="str">
        <f>VLOOKUP(B106,Table_TechBridge_Task_8_Dataset[#All],3,FALSE)</f>
        <v>Kano</v>
      </c>
      <c r="E106" t="str">
        <f>VLOOKUP(B106,Table_TechBridge_Task_8_Dataset[#All],4,FALSE)</f>
        <v>Retail</v>
      </c>
      <c r="F106" t="s">
        <v>84</v>
      </c>
      <c r="G106" t="str">
        <f>VLOOKUP(F106,Table_TechBridge_Task_8_Dataset_1[#All],2,FALSE)</f>
        <v>Tablet</v>
      </c>
      <c r="H106" t="str">
        <f>VLOOKUP(F106,Table_TechBridge_Task_8_Dataset_1[#All],3,FALSE)</f>
        <v>Electronics</v>
      </c>
      <c r="I106" s="13">
        <v>2</v>
      </c>
      <c r="J106" s="4">
        <f>VLOOKUP(F106,Table_TechBridge_Task_8_Dataset_1[#All],4,FALSE)</f>
        <v>220000</v>
      </c>
      <c r="K106" s="4">
        <v>0</v>
      </c>
      <c r="L106" s="5" t="s">
        <v>197</v>
      </c>
      <c r="M106" s="4">
        <f t="shared" si="1"/>
        <v>440000</v>
      </c>
    </row>
    <row r="107" spans="1:13" x14ac:dyDescent="0.25">
      <c r="A107" t="s">
        <v>255</v>
      </c>
      <c r="B107" t="s">
        <v>33</v>
      </c>
      <c r="C107" t="str">
        <f>VLOOKUP(B107,Table_TechBridge_Task_8_Dataset[#All],2,FALSE)</f>
        <v>Ibrahim Sani</v>
      </c>
      <c r="D107" t="str">
        <f>VLOOKUP(B107,Table_TechBridge_Task_8_Dataset[#All],3,FALSE)</f>
        <v>Abuja</v>
      </c>
      <c r="E107" t="str">
        <f>VLOOKUP(B107,Table_TechBridge_Task_8_Dataset[#All],4,FALSE)</f>
        <v>Retail</v>
      </c>
      <c r="F107" t="s">
        <v>67</v>
      </c>
      <c r="G107" t="str">
        <f>VLOOKUP(F107,Table_TechBridge_Task_8_Dataset_1[#All],2,FALSE)</f>
        <v>Monitor</v>
      </c>
      <c r="H107" t="str">
        <f>VLOOKUP(F107,Table_TechBridge_Task_8_Dataset_1[#All],3,FALSE)</f>
        <v>Electronics</v>
      </c>
      <c r="I107" s="13">
        <v>3</v>
      </c>
      <c r="J107" s="4">
        <f>VLOOKUP(F107,Table_TechBridge_Task_8_Dataset_1[#All],4,FALSE)</f>
        <v>180000</v>
      </c>
      <c r="K107" s="4">
        <v>0</v>
      </c>
      <c r="L107" s="5" t="s">
        <v>199</v>
      </c>
      <c r="M107" s="4">
        <f t="shared" si="1"/>
        <v>540000</v>
      </c>
    </row>
    <row r="108" spans="1:13" x14ac:dyDescent="0.25">
      <c r="A108" t="s">
        <v>256</v>
      </c>
      <c r="B108" t="s">
        <v>52</v>
      </c>
      <c r="C108" t="str">
        <f>VLOOKUP(B108,Table_TechBridge_Task_8_Dataset[#All],2,FALSE)</f>
        <v>Hauwa Ali</v>
      </c>
      <c r="D108" t="str">
        <f>VLOOKUP(B108,Table_TechBridge_Task_8_Dataset[#All],3,FALSE)</f>
        <v>Kano</v>
      </c>
      <c r="E108" t="str">
        <f>VLOOKUP(B108,Table_TechBridge_Task_8_Dataset[#All],4,FALSE)</f>
        <v>Corporate</v>
      </c>
      <c r="F108" t="s">
        <v>74</v>
      </c>
      <c r="G108" t="str">
        <f>VLOOKUP(F108,Table_TechBridge_Task_8_Dataset_1[#All],2,FALSE)</f>
        <v>Printer</v>
      </c>
      <c r="H108" t="str">
        <f>VLOOKUP(F108,Table_TechBridge_Task_8_Dataset_1[#All],3,FALSE)</f>
        <v>Office Equipment</v>
      </c>
      <c r="I108" s="13">
        <v>4</v>
      </c>
      <c r="J108" s="4">
        <f>VLOOKUP(F108,Table_TechBridge_Task_8_Dataset_1[#All],4,FALSE)</f>
        <v>120000</v>
      </c>
      <c r="K108" s="4">
        <v>0</v>
      </c>
      <c r="L108" s="5" t="s">
        <v>201</v>
      </c>
      <c r="M108" s="4">
        <f t="shared" si="1"/>
        <v>480000</v>
      </c>
    </row>
    <row r="109" spans="1:13" x14ac:dyDescent="0.25">
      <c r="A109" t="s">
        <v>257</v>
      </c>
      <c r="B109" t="s">
        <v>15</v>
      </c>
      <c r="C109" t="str">
        <f>VLOOKUP(B109,Table_TechBridge_Task_8_Dataset[#All],2,FALSE)</f>
        <v>Chinedu Obi</v>
      </c>
      <c r="D109" t="str">
        <f>VLOOKUP(B109,Table_TechBridge_Task_8_Dataset[#All],3,FALSE)</f>
        <v>Port Harcourt</v>
      </c>
      <c r="E109" t="str">
        <f>VLOOKUP(B109,Table_TechBridge_Task_8_Dataset[#All],4,FALSE)</f>
        <v>Corporate</v>
      </c>
      <c r="F109" t="s">
        <v>82</v>
      </c>
      <c r="G109" t="str">
        <f>VLOOKUP(F109,Table_TechBridge_Task_8_Dataset_1[#All],2,FALSE)</f>
        <v>Headset</v>
      </c>
      <c r="H109" t="str">
        <f>VLOOKUP(F109,Table_TechBridge_Task_8_Dataset_1[#All],3,FALSE)</f>
        <v>Accessories</v>
      </c>
      <c r="I109" s="13">
        <v>5</v>
      </c>
      <c r="J109" s="4">
        <f>VLOOKUP(F109,Table_TechBridge_Task_8_Dataset_1[#All],4,FALSE)</f>
        <v>25000</v>
      </c>
      <c r="K109" s="4">
        <v>0</v>
      </c>
      <c r="L109" s="5" t="s">
        <v>93</v>
      </c>
      <c r="M109" s="4">
        <f t="shared" si="1"/>
        <v>125000</v>
      </c>
    </row>
    <row r="110" spans="1:13" x14ac:dyDescent="0.25">
      <c r="A110" t="s">
        <v>258</v>
      </c>
      <c r="B110" t="s">
        <v>35</v>
      </c>
      <c r="C110" t="str">
        <f>VLOOKUP(B110,Table_TechBridge_Task_8_Dataset[#All],2,FALSE)</f>
        <v>Esther James</v>
      </c>
      <c r="D110" t="str">
        <f>VLOOKUP(B110,Table_TechBridge_Task_8_Dataset[#All],3,FALSE)</f>
        <v>Warri</v>
      </c>
      <c r="E110" t="str">
        <f>VLOOKUP(B110,Table_TechBridge_Task_8_Dataset[#All],4,FALSE)</f>
        <v>Retail</v>
      </c>
      <c r="F110" t="s">
        <v>64</v>
      </c>
      <c r="G110" t="str">
        <f>VLOOKUP(F110,Table_TechBridge_Task_8_Dataset_1[#All],2,FALSE)</f>
        <v>Laptop</v>
      </c>
      <c r="H110" t="str">
        <f>VLOOKUP(F110,Table_TechBridge_Task_8_Dataset_1[#All],3,FALSE)</f>
        <v>Electronics</v>
      </c>
      <c r="I110" s="13">
        <v>1</v>
      </c>
      <c r="J110" s="4">
        <f>VLOOKUP(F110,Table_TechBridge_Task_8_Dataset_1[#All],4,FALSE)</f>
        <v>450000</v>
      </c>
      <c r="K110" s="4">
        <v>0.1</v>
      </c>
      <c r="L110" s="5" t="s">
        <v>95</v>
      </c>
      <c r="M110" s="4">
        <f t="shared" si="1"/>
        <v>405000</v>
      </c>
    </row>
    <row r="111" spans="1:13" x14ac:dyDescent="0.25">
      <c r="A111" t="s">
        <v>259</v>
      </c>
      <c r="B111" t="s">
        <v>54</v>
      </c>
      <c r="C111" t="str">
        <f>VLOOKUP(B111,Table_TechBridge_Task_8_Dataset[#All],2,FALSE)</f>
        <v>Kelvin George</v>
      </c>
      <c r="D111" t="str">
        <f>VLOOKUP(B111,Table_TechBridge_Task_8_Dataset[#All],3,FALSE)</f>
        <v>Port Harcourt</v>
      </c>
      <c r="E111" t="str">
        <f>VLOOKUP(B111,Table_TechBridge_Task_8_Dataset[#All],4,FALSE)</f>
        <v>Retail</v>
      </c>
      <c r="F111" t="s">
        <v>72</v>
      </c>
      <c r="G111" t="str">
        <f>VLOOKUP(F111,Table_TechBridge_Task_8_Dataset_1[#All],2,FALSE)</f>
        <v>Mouse</v>
      </c>
      <c r="H111" t="str">
        <f>VLOOKUP(F111,Table_TechBridge_Task_8_Dataset_1[#All],3,FALSE)</f>
        <v>Accessories</v>
      </c>
      <c r="I111" s="13">
        <v>2</v>
      </c>
      <c r="J111" s="4">
        <f>VLOOKUP(F111,Table_TechBridge_Task_8_Dataset_1[#All],4,FALSE)</f>
        <v>8000</v>
      </c>
      <c r="K111" s="4">
        <v>0</v>
      </c>
      <c r="L111" s="5" t="s">
        <v>97</v>
      </c>
      <c r="M111" s="4">
        <f t="shared" si="1"/>
        <v>16000</v>
      </c>
    </row>
    <row r="112" spans="1:13" x14ac:dyDescent="0.25">
      <c r="A112" t="s">
        <v>260</v>
      </c>
      <c r="B112" t="s">
        <v>18</v>
      </c>
      <c r="C112" t="str">
        <f>VLOOKUP(B112,Table_TechBridge_Task_8_Dataset[#All],2,FALSE)</f>
        <v>Grace Eze</v>
      </c>
      <c r="D112" t="str">
        <f>VLOOKUP(B112,Table_TechBridge_Task_8_Dataset[#All],3,FALSE)</f>
        <v>Benin City</v>
      </c>
      <c r="E112" t="str">
        <f>VLOOKUP(B112,Table_TechBridge_Task_8_Dataset[#All],4,FALSE)</f>
        <v>Retail</v>
      </c>
      <c r="F112" t="s">
        <v>80</v>
      </c>
      <c r="G112" t="str">
        <f>VLOOKUP(F112,Table_TechBridge_Task_8_Dataset_1[#All],2,FALSE)</f>
        <v>Desk</v>
      </c>
      <c r="H112" t="str">
        <f>VLOOKUP(F112,Table_TechBridge_Task_8_Dataset_1[#All],3,FALSE)</f>
        <v>Furniture</v>
      </c>
      <c r="I112" s="13">
        <v>3</v>
      </c>
      <c r="J112" s="4">
        <f>VLOOKUP(F112,Table_TechBridge_Task_8_Dataset_1[#All],4,FALSE)</f>
        <v>140000</v>
      </c>
      <c r="K112" s="4">
        <v>0.05</v>
      </c>
      <c r="L112" s="5" t="s">
        <v>99</v>
      </c>
      <c r="M112" s="4">
        <f t="shared" si="1"/>
        <v>399000</v>
      </c>
    </row>
    <row r="113" spans="1:13" x14ac:dyDescent="0.25">
      <c r="A113" t="s">
        <v>261</v>
      </c>
      <c r="B113" t="s">
        <v>38</v>
      </c>
      <c r="C113" t="str">
        <f>VLOOKUP(B113,Table_TechBridge_Task_8_Dataset[#All],2,FALSE)</f>
        <v>David Umeh</v>
      </c>
      <c r="D113" t="str">
        <f>VLOOKUP(B113,Table_TechBridge_Task_8_Dataset[#All],3,FALSE)</f>
        <v>Asaba</v>
      </c>
      <c r="E113" t="str">
        <f>VLOOKUP(B113,Table_TechBridge_Task_8_Dataset[#All],4,FALSE)</f>
        <v>Corporate</v>
      </c>
      <c r="F113" t="s">
        <v>86</v>
      </c>
      <c r="G113" t="str">
        <f>VLOOKUP(F113,Table_TechBridge_Task_8_Dataset_1[#All],2,FALSE)</f>
        <v>External Drive</v>
      </c>
      <c r="H113" t="str">
        <f>VLOOKUP(F113,Table_TechBridge_Task_8_Dataset_1[#All],3,FALSE)</f>
        <v>Electronics</v>
      </c>
      <c r="I113" s="13">
        <v>4</v>
      </c>
      <c r="J113" s="4">
        <f>VLOOKUP(F113,Table_TechBridge_Task_8_Dataset_1[#All],4,FALSE)</f>
        <v>75000</v>
      </c>
      <c r="K113" s="4">
        <v>0</v>
      </c>
      <c r="L113" s="5" t="s">
        <v>101</v>
      </c>
      <c r="M113" s="4">
        <f t="shared" si="1"/>
        <v>300000</v>
      </c>
    </row>
    <row r="114" spans="1:13" x14ac:dyDescent="0.25">
      <c r="A114" t="s">
        <v>262</v>
      </c>
      <c r="B114" t="s">
        <v>56</v>
      </c>
      <c r="C114" t="str">
        <f>VLOOKUP(B114,Table_TechBridge_Task_8_Dataset[#All],2,FALSE)</f>
        <v>Mercy John</v>
      </c>
      <c r="D114" t="str">
        <f>VLOOKUP(B114,Table_TechBridge_Task_8_Dataset[#All],3,FALSE)</f>
        <v>Benin City</v>
      </c>
      <c r="E114" t="str">
        <f>VLOOKUP(B114,Table_TechBridge_Task_8_Dataset[#All],4,FALSE)</f>
        <v>Wholesale</v>
      </c>
      <c r="F114" t="s">
        <v>69</v>
      </c>
      <c r="G114" t="str">
        <f>VLOOKUP(F114,Table_TechBridge_Task_8_Dataset_1[#All],2,FALSE)</f>
        <v>Keyboard</v>
      </c>
      <c r="H114" t="str">
        <f>VLOOKUP(F114,Table_TechBridge_Task_8_Dataset_1[#All],3,FALSE)</f>
        <v>Accessories</v>
      </c>
      <c r="I114" s="13">
        <v>5</v>
      </c>
      <c r="J114" s="4">
        <f>VLOOKUP(F114,Table_TechBridge_Task_8_Dataset_1[#All],4,FALSE)</f>
        <v>15000</v>
      </c>
      <c r="K114" s="4">
        <v>0</v>
      </c>
      <c r="L114" s="5" t="s">
        <v>103</v>
      </c>
      <c r="M114" s="4">
        <f t="shared" si="1"/>
        <v>75000</v>
      </c>
    </row>
    <row r="115" spans="1:13" x14ac:dyDescent="0.25">
      <c r="A115" t="s">
        <v>263</v>
      </c>
      <c r="B115" t="s">
        <v>21</v>
      </c>
      <c r="C115" t="str">
        <f>VLOOKUP(B115,Table_TechBridge_Task_8_Dataset[#All],2,FALSE)</f>
        <v>Samuel Adeyemi</v>
      </c>
      <c r="D115" t="str">
        <f>VLOOKUP(B115,Table_TechBridge_Task_8_Dataset[#All],3,FALSE)</f>
        <v>Ibadan</v>
      </c>
      <c r="E115" t="str">
        <f>VLOOKUP(B115,Table_TechBridge_Task_8_Dataset[#All],4,FALSE)</f>
        <v>Wholesale</v>
      </c>
      <c r="F115" t="s">
        <v>77</v>
      </c>
      <c r="G115" t="str">
        <f>VLOOKUP(F115,Table_TechBridge_Task_8_Dataset_1[#All],2,FALSE)</f>
        <v>Office Chair</v>
      </c>
      <c r="H115" t="str">
        <f>VLOOKUP(F115,Table_TechBridge_Task_8_Dataset_1[#All],3,FALSE)</f>
        <v>Furniture</v>
      </c>
      <c r="I115" s="13">
        <v>1</v>
      </c>
      <c r="J115" s="4">
        <f>VLOOKUP(F115,Table_TechBridge_Task_8_Dataset_1[#All],4,FALSE)</f>
        <v>95000</v>
      </c>
      <c r="K115" s="4">
        <v>0</v>
      </c>
      <c r="L115" s="5" t="s">
        <v>105</v>
      </c>
      <c r="M115" s="4">
        <f t="shared" si="1"/>
        <v>95000</v>
      </c>
    </row>
    <row r="116" spans="1:13" x14ac:dyDescent="0.25">
      <c r="A116" t="s">
        <v>264</v>
      </c>
      <c r="B116" t="s">
        <v>41</v>
      </c>
      <c r="C116" t="str">
        <f>VLOOKUP(B116,Table_TechBridge_Task_8_Dataset[#All],2,FALSE)</f>
        <v>Joy Akpan</v>
      </c>
      <c r="D116" t="str">
        <f>VLOOKUP(B116,Table_TechBridge_Task_8_Dataset[#All],3,FALSE)</f>
        <v>Uyo</v>
      </c>
      <c r="E116" t="str">
        <f>VLOOKUP(B116,Table_TechBridge_Task_8_Dataset[#All],4,FALSE)</f>
        <v>Retail</v>
      </c>
      <c r="F116" t="s">
        <v>84</v>
      </c>
      <c r="G116" t="str">
        <f>VLOOKUP(F116,Table_TechBridge_Task_8_Dataset_1[#All],2,FALSE)</f>
        <v>Tablet</v>
      </c>
      <c r="H116" t="str">
        <f>VLOOKUP(F116,Table_TechBridge_Task_8_Dataset_1[#All],3,FALSE)</f>
        <v>Electronics</v>
      </c>
      <c r="I116" s="13">
        <v>2</v>
      </c>
      <c r="J116" s="4">
        <f>VLOOKUP(F116,Table_TechBridge_Task_8_Dataset_1[#All],4,FALSE)</f>
        <v>220000</v>
      </c>
      <c r="K116" s="4">
        <v>0</v>
      </c>
      <c r="L116" s="5" t="s">
        <v>107</v>
      </c>
      <c r="M116" s="4">
        <f t="shared" si="1"/>
        <v>440000</v>
      </c>
    </row>
    <row r="117" spans="1:13" x14ac:dyDescent="0.25">
      <c r="A117" t="s">
        <v>265</v>
      </c>
      <c r="B117" t="s">
        <v>58</v>
      </c>
      <c r="C117" t="str">
        <f>VLOOKUP(B117,Table_TechBridge_Task_8_Dataset[#All],2,FALSE)</f>
        <v>Tunde Adebayo</v>
      </c>
      <c r="D117" t="str">
        <f>VLOOKUP(B117,Table_TechBridge_Task_8_Dataset[#All],3,FALSE)</f>
        <v>Ibadan</v>
      </c>
      <c r="E117" t="str">
        <f>VLOOKUP(B117,Table_TechBridge_Task_8_Dataset[#All],4,FALSE)</f>
        <v>Corporate</v>
      </c>
      <c r="F117" t="s">
        <v>67</v>
      </c>
      <c r="G117" t="str">
        <f>VLOOKUP(F117,Table_TechBridge_Task_8_Dataset_1[#All],2,FALSE)</f>
        <v>Monitor</v>
      </c>
      <c r="H117" t="str">
        <f>VLOOKUP(F117,Table_TechBridge_Task_8_Dataset_1[#All],3,FALSE)</f>
        <v>Electronics</v>
      </c>
      <c r="I117" s="13">
        <v>3</v>
      </c>
      <c r="J117" s="4">
        <f>VLOOKUP(F117,Table_TechBridge_Task_8_Dataset_1[#All],4,FALSE)</f>
        <v>180000</v>
      </c>
      <c r="K117" s="4">
        <v>0</v>
      </c>
      <c r="L117" s="5" t="s">
        <v>109</v>
      </c>
      <c r="M117" s="4">
        <f t="shared" si="1"/>
        <v>540000</v>
      </c>
    </row>
    <row r="118" spans="1:13" x14ac:dyDescent="0.25">
      <c r="A118" t="s">
        <v>266</v>
      </c>
      <c r="B118" t="s">
        <v>25</v>
      </c>
      <c r="C118" t="str">
        <f>VLOOKUP(B118,Table_TechBridge_Task_8_Dataset[#All],2,FALSE)</f>
        <v>Fatima Musa</v>
      </c>
      <c r="D118" t="str">
        <f>VLOOKUP(B118,Table_TechBridge_Task_8_Dataset[#All],3,FALSE)</f>
        <v>Kaduna</v>
      </c>
      <c r="E118" t="str">
        <f>VLOOKUP(B118,Table_TechBridge_Task_8_Dataset[#All],4,FALSE)</f>
        <v>Retail</v>
      </c>
      <c r="F118" t="s">
        <v>74</v>
      </c>
      <c r="G118" t="str">
        <f>VLOOKUP(F118,Table_TechBridge_Task_8_Dataset_1[#All],2,FALSE)</f>
        <v>Printer</v>
      </c>
      <c r="H118" t="str">
        <f>VLOOKUP(F118,Table_TechBridge_Task_8_Dataset_1[#All],3,FALSE)</f>
        <v>Office Equipment</v>
      </c>
      <c r="I118" s="13">
        <v>4</v>
      </c>
      <c r="J118" s="4">
        <f>VLOOKUP(F118,Table_TechBridge_Task_8_Dataset_1[#All],4,FALSE)</f>
        <v>120000</v>
      </c>
      <c r="K118" s="4">
        <v>0</v>
      </c>
      <c r="L118" s="5" t="s">
        <v>112</v>
      </c>
      <c r="M118" s="4">
        <f t="shared" si="1"/>
        <v>480000</v>
      </c>
    </row>
    <row r="119" spans="1:13" x14ac:dyDescent="0.25">
      <c r="A119" t="s">
        <v>267</v>
      </c>
      <c r="B119" t="s">
        <v>44</v>
      </c>
      <c r="C119" t="str">
        <f>VLOOKUP(B119,Table_TechBridge_Task_8_Dataset[#All],2,FALSE)</f>
        <v>Michael Joseph</v>
      </c>
      <c r="D119" t="str">
        <f>VLOOKUP(B119,Table_TechBridge_Task_8_Dataset[#All],3,FALSE)</f>
        <v>Calabar</v>
      </c>
      <c r="E119" t="str">
        <f>VLOOKUP(B119,Table_TechBridge_Task_8_Dataset[#All],4,FALSE)</f>
        <v>Wholesale</v>
      </c>
      <c r="F119" t="s">
        <v>82</v>
      </c>
      <c r="G119" t="str">
        <f>VLOOKUP(F119,Table_TechBridge_Task_8_Dataset_1[#All],2,FALSE)</f>
        <v>Headset</v>
      </c>
      <c r="H119" t="str">
        <f>VLOOKUP(F119,Table_TechBridge_Task_8_Dataset_1[#All],3,FALSE)</f>
        <v>Accessories</v>
      </c>
      <c r="I119" s="13">
        <v>5</v>
      </c>
      <c r="J119" s="4">
        <f>VLOOKUP(F119,Table_TechBridge_Task_8_Dataset_1[#All],4,FALSE)</f>
        <v>25000</v>
      </c>
      <c r="K119" s="4">
        <v>0.05</v>
      </c>
      <c r="L119" s="5" t="s">
        <v>114</v>
      </c>
      <c r="M119" s="4">
        <f t="shared" si="1"/>
        <v>118750</v>
      </c>
    </row>
    <row r="120" spans="1:13" x14ac:dyDescent="0.25">
      <c r="A120" s="6" t="s">
        <v>268</v>
      </c>
      <c r="B120" s="6" t="s">
        <v>4</v>
      </c>
      <c r="C120" s="6" t="str">
        <f>VLOOKUP(B120,Table_TechBridge_Task_8_Dataset[#All],2,FALSE)</f>
        <v>Aisha Bello</v>
      </c>
      <c r="D120" s="6" t="str">
        <f>VLOOKUP(B120,Table_TechBridge_Task_8_Dataset[#All],3,FALSE)</f>
        <v>Lagos</v>
      </c>
      <c r="E120" s="6" t="str">
        <f>VLOOKUP(B120,Table_TechBridge_Task_8_Dataset[#All],4,FALSE)</f>
        <v>Retail</v>
      </c>
      <c r="F120" s="6" t="s">
        <v>64</v>
      </c>
      <c r="G120" s="6" t="str">
        <f>VLOOKUP(F120,Table_TechBridge_Task_8_Dataset_1[#All],2,FALSE)</f>
        <v>Laptop</v>
      </c>
      <c r="H120" s="6" t="str">
        <f>VLOOKUP(F120,Table_TechBridge_Task_8_Dataset_1[#All],3,FALSE)</f>
        <v>Electronics</v>
      </c>
      <c r="I120" s="20">
        <v>-2</v>
      </c>
      <c r="J120" s="8">
        <f>VLOOKUP(F120,Table_TechBridge_Task_8_Dataset_1[#All],4,FALSE)</f>
        <v>450000</v>
      </c>
      <c r="K120" s="8">
        <v>0</v>
      </c>
      <c r="L120" s="7" t="s">
        <v>116</v>
      </c>
      <c r="M120" s="8">
        <f t="shared" si="1"/>
        <v>-900000</v>
      </c>
    </row>
    <row r="121" spans="1:13" x14ac:dyDescent="0.25">
      <c r="A121" t="s">
        <v>269</v>
      </c>
      <c r="B121" t="s">
        <v>28</v>
      </c>
      <c r="C121" t="str">
        <f>VLOOKUP(B121,Table_TechBridge_Task_8_Dataset[#All],2,FALSE)</f>
        <v>Emeka Nwosu</v>
      </c>
      <c r="D121" t="str">
        <f>VLOOKUP(B121,Table_TechBridge_Task_8_Dataset[#All],3,FALSE)</f>
        <v>Enugu</v>
      </c>
      <c r="E121" t="str">
        <f>VLOOKUP(B121,Table_TechBridge_Task_8_Dataset[#All],4,FALSE)</f>
        <v>Corporate</v>
      </c>
      <c r="F121" t="s">
        <v>72</v>
      </c>
      <c r="G121" t="str">
        <f>VLOOKUP(F121,Table_TechBridge_Task_8_Dataset_1[#All],2,FALSE)</f>
        <v>Mouse</v>
      </c>
      <c r="H121" t="str">
        <f>VLOOKUP(F121,Table_TechBridge_Task_8_Dataset_1[#All],3,FALSE)</f>
        <v>Accessories</v>
      </c>
      <c r="I121" s="13">
        <v>2</v>
      </c>
      <c r="J121" s="4">
        <f>VLOOKUP(F121,Table_TechBridge_Task_8_Dataset_1[#All],4,FALSE)</f>
        <v>8000</v>
      </c>
      <c r="K121" s="4">
        <v>0.1</v>
      </c>
      <c r="L121" s="5" t="s">
        <v>118</v>
      </c>
      <c r="M121" s="4">
        <f t="shared" si="1"/>
        <v>14400</v>
      </c>
    </row>
    <row r="122" spans="1:13" x14ac:dyDescent="0.25">
      <c r="A122" t="s">
        <v>270</v>
      </c>
      <c r="B122" t="s">
        <v>47</v>
      </c>
      <c r="C122" t="str">
        <f>VLOOKUP(B122,Table_TechBridge_Task_8_Dataset[#All],2,FALSE)</f>
        <v>Ruth Daniel</v>
      </c>
      <c r="D122" t="str">
        <f>VLOOKUP(B122,Table_TechBridge_Task_8_Dataset[#All],3,FALSE)</f>
        <v>Lagos</v>
      </c>
      <c r="E122" t="str">
        <f>VLOOKUP(B122,Table_TechBridge_Task_8_Dataset[#All],4,FALSE)</f>
        <v>Corporate</v>
      </c>
      <c r="F122" t="s">
        <v>80</v>
      </c>
      <c r="G122" t="str">
        <f>VLOOKUP(F122,Table_TechBridge_Task_8_Dataset_1[#All],2,FALSE)</f>
        <v>Desk</v>
      </c>
      <c r="H122" t="str">
        <f>VLOOKUP(F122,Table_TechBridge_Task_8_Dataset_1[#All],3,FALSE)</f>
        <v>Furniture</v>
      </c>
      <c r="I122" s="13">
        <v>3</v>
      </c>
      <c r="J122" s="4">
        <f>VLOOKUP(F122,Table_TechBridge_Task_8_Dataset_1[#All],4,FALSE)</f>
        <v>140000</v>
      </c>
      <c r="K122" s="4">
        <v>0</v>
      </c>
      <c r="L122" s="5" t="s">
        <v>120</v>
      </c>
      <c r="M122" s="4">
        <f t="shared" si="1"/>
        <v>420000</v>
      </c>
    </row>
    <row r="123" spans="1:13" x14ac:dyDescent="0.25">
      <c r="A123" t="s">
        <v>271</v>
      </c>
      <c r="B123" t="s">
        <v>8</v>
      </c>
      <c r="C123" t="str">
        <f>VLOOKUP(B123,Table_TechBridge_Task_8_Dataset[#All],2,FALSE)</f>
        <v>Daniel Okafor</v>
      </c>
      <c r="D123" t="str">
        <f>VLOOKUP(B123,Table_TechBridge_Task_8_Dataset[#All],3,FALSE)</f>
        <v>Abuja</v>
      </c>
      <c r="E123" t="str">
        <f>VLOOKUP(B123,Table_TechBridge_Task_8_Dataset[#All],4,FALSE)</f>
        <v>Corporate</v>
      </c>
      <c r="F123" t="s">
        <v>86</v>
      </c>
      <c r="G123" t="str">
        <f>VLOOKUP(F123,Table_TechBridge_Task_8_Dataset_1[#All],2,FALSE)</f>
        <v>External Drive</v>
      </c>
      <c r="H123" t="str">
        <f>VLOOKUP(F123,Table_TechBridge_Task_8_Dataset_1[#All],3,FALSE)</f>
        <v>Electronics</v>
      </c>
      <c r="I123" s="13">
        <v>4</v>
      </c>
      <c r="J123" s="4">
        <f>VLOOKUP(F123,Table_TechBridge_Task_8_Dataset_1[#All],4,FALSE)</f>
        <v>75000</v>
      </c>
      <c r="K123" s="4">
        <v>0</v>
      </c>
      <c r="L123" s="5" t="s">
        <v>122</v>
      </c>
      <c r="M123" s="4">
        <f t="shared" si="1"/>
        <v>300000</v>
      </c>
    </row>
    <row r="124" spans="1:13" x14ac:dyDescent="0.25">
      <c r="A124" t="s">
        <v>272</v>
      </c>
      <c r="B124" t="s">
        <v>31</v>
      </c>
      <c r="C124" t="str">
        <f>VLOOKUP(B124,Table_TechBridge_Task_8_Dataset[#All],2,FALSE)</f>
        <v>Blessing Ojo</v>
      </c>
      <c r="D124" t="str">
        <f>VLOOKUP(B124,Table_TechBridge_Task_8_Dataset[#All],3,FALSE)</f>
        <v>Lagos</v>
      </c>
      <c r="E124" t="str">
        <f>VLOOKUP(B124,Table_TechBridge_Task_8_Dataset[#All],4,FALSE)</f>
        <v>Wholesale</v>
      </c>
      <c r="F124" t="s">
        <v>69</v>
      </c>
      <c r="G124" t="str">
        <f>VLOOKUP(F124,Table_TechBridge_Task_8_Dataset_1[#All],2,FALSE)</f>
        <v>Keyboard</v>
      </c>
      <c r="H124" t="str">
        <f>VLOOKUP(F124,Table_TechBridge_Task_8_Dataset_1[#All],3,FALSE)</f>
        <v>Accessories</v>
      </c>
      <c r="I124" s="13">
        <v>5</v>
      </c>
      <c r="J124" s="4">
        <f>VLOOKUP(F124,Table_TechBridge_Task_8_Dataset_1[#All],4,FALSE)</f>
        <v>15000</v>
      </c>
      <c r="K124" s="4">
        <v>0</v>
      </c>
      <c r="L124" s="5" t="s">
        <v>124</v>
      </c>
      <c r="M124" s="4">
        <f t="shared" si="1"/>
        <v>75000</v>
      </c>
    </row>
    <row r="125" spans="1:13" x14ac:dyDescent="0.25">
      <c r="A125" t="s">
        <v>273</v>
      </c>
      <c r="B125" t="s">
        <v>49</v>
      </c>
      <c r="C125" t="str">
        <f>VLOOKUP(B125,Table_TechBridge_Task_8_Dataset[#All],2,FALSE)</f>
        <v>Peter Williams</v>
      </c>
      <c r="D125" t="str">
        <f>VLOOKUP(B125,Table_TechBridge_Task_8_Dataset[#All],3,FALSE)</f>
        <v>Abeokuta</v>
      </c>
      <c r="E125" t="str">
        <f>VLOOKUP(B125,Table_TechBridge_Task_8_Dataset[#All],4,FALSE)</f>
        <v>Retail</v>
      </c>
      <c r="F125" t="s">
        <v>77</v>
      </c>
      <c r="G125" t="str">
        <f>VLOOKUP(F125,Table_TechBridge_Task_8_Dataset_1[#All],2,FALSE)</f>
        <v>Office Chair</v>
      </c>
      <c r="H125" t="str">
        <f>VLOOKUP(F125,Table_TechBridge_Task_8_Dataset_1[#All],3,FALSE)</f>
        <v>Furniture</v>
      </c>
      <c r="I125" s="13">
        <v>1</v>
      </c>
      <c r="J125" s="4">
        <f>VLOOKUP(F125,Table_TechBridge_Task_8_Dataset_1[#All],4,FALSE)</f>
        <v>95000</v>
      </c>
      <c r="K125" s="4">
        <v>0</v>
      </c>
      <c r="L125" s="5" t="s">
        <v>126</v>
      </c>
      <c r="M125" s="4">
        <f t="shared" si="1"/>
        <v>95000</v>
      </c>
    </row>
    <row r="126" spans="1:13" x14ac:dyDescent="0.25">
      <c r="A126" t="s">
        <v>274</v>
      </c>
      <c r="B126" t="s">
        <v>12</v>
      </c>
      <c r="C126" t="str">
        <f>VLOOKUP(B126,Table_TechBridge_Task_8_Dataset[#All],2,FALSE)</f>
        <v>Mariam Yusuf</v>
      </c>
      <c r="D126" t="str">
        <f>VLOOKUP(B126,Table_TechBridge_Task_8_Dataset[#All],3,FALSE)</f>
        <v>Kano</v>
      </c>
      <c r="E126" t="str">
        <f>VLOOKUP(B126,Table_TechBridge_Task_8_Dataset[#All],4,FALSE)</f>
        <v>Retail</v>
      </c>
      <c r="F126" t="s">
        <v>84</v>
      </c>
      <c r="G126" t="str">
        <f>VLOOKUP(F126,Table_TechBridge_Task_8_Dataset_1[#All],2,FALSE)</f>
        <v>Tablet</v>
      </c>
      <c r="H126" t="str">
        <f>VLOOKUP(F126,Table_TechBridge_Task_8_Dataset_1[#All],3,FALSE)</f>
        <v>Electronics</v>
      </c>
      <c r="I126" s="13">
        <v>2</v>
      </c>
      <c r="J126" s="4">
        <f>VLOOKUP(F126,Table_TechBridge_Task_8_Dataset_1[#All],4,FALSE)</f>
        <v>220000</v>
      </c>
      <c r="K126" s="4">
        <v>0.05</v>
      </c>
      <c r="L126" s="5" t="s">
        <v>128</v>
      </c>
      <c r="M126" s="4">
        <f t="shared" si="1"/>
        <v>418000</v>
      </c>
    </row>
    <row r="127" spans="1:13" x14ac:dyDescent="0.25">
      <c r="A127" t="s">
        <v>275</v>
      </c>
      <c r="B127" t="s">
        <v>33</v>
      </c>
      <c r="C127" t="str">
        <f>VLOOKUP(B127,Table_TechBridge_Task_8_Dataset[#All],2,FALSE)</f>
        <v>Ibrahim Sani</v>
      </c>
      <c r="D127" t="str">
        <f>VLOOKUP(B127,Table_TechBridge_Task_8_Dataset[#All],3,FALSE)</f>
        <v>Abuja</v>
      </c>
      <c r="E127" t="str">
        <f>VLOOKUP(B127,Table_TechBridge_Task_8_Dataset[#All],4,FALSE)</f>
        <v>Retail</v>
      </c>
      <c r="F127" t="s">
        <v>67</v>
      </c>
      <c r="G127" t="str">
        <f>VLOOKUP(F127,Table_TechBridge_Task_8_Dataset_1[#All],2,FALSE)</f>
        <v>Monitor</v>
      </c>
      <c r="H127" t="str">
        <f>VLOOKUP(F127,Table_TechBridge_Task_8_Dataset_1[#All],3,FALSE)</f>
        <v>Electronics</v>
      </c>
      <c r="I127" s="13">
        <v>3</v>
      </c>
      <c r="J127" s="4">
        <f>VLOOKUP(F127,Table_TechBridge_Task_8_Dataset_1[#All],4,FALSE)</f>
        <v>180000</v>
      </c>
      <c r="K127" s="4">
        <v>0</v>
      </c>
      <c r="L127" s="5" t="s">
        <v>130</v>
      </c>
      <c r="M127" s="4">
        <f t="shared" si="1"/>
        <v>540000</v>
      </c>
    </row>
    <row r="128" spans="1:13" x14ac:dyDescent="0.25">
      <c r="A128" t="s">
        <v>276</v>
      </c>
      <c r="B128" t="s">
        <v>52</v>
      </c>
      <c r="C128" t="str">
        <f>VLOOKUP(B128,Table_TechBridge_Task_8_Dataset[#All],2,FALSE)</f>
        <v>Hauwa Ali</v>
      </c>
      <c r="D128" t="str">
        <f>VLOOKUP(B128,Table_TechBridge_Task_8_Dataset[#All],3,FALSE)</f>
        <v>Kano</v>
      </c>
      <c r="E128" t="str">
        <f>VLOOKUP(B128,Table_TechBridge_Task_8_Dataset[#All],4,FALSE)</f>
        <v>Corporate</v>
      </c>
      <c r="F128" t="s">
        <v>74</v>
      </c>
      <c r="G128" t="str">
        <f>VLOOKUP(F128,Table_TechBridge_Task_8_Dataset_1[#All],2,FALSE)</f>
        <v>Printer</v>
      </c>
      <c r="H128" t="str">
        <f>VLOOKUP(F128,Table_TechBridge_Task_8_Dataset_1[#All],3,FALSE)</f>
        <v>Office Equipment</v>
      </c>
      <c r="I128" s="13">
        <v>4</v>
      </c>
      <c r="J128" s="4">
        <f>VLOOKUP(F128,Table_TechBridge_Task_8_Dataset_1[#All],4,FALSE)</f>
        <v>120000</v>
      </c>
      <c r="K128" s="4">
        <v>0</v>
      </c>
      <c r="L128" s="5" t="s">
        <v>132</v>
      </c>
      <c r="M128" s="4">
        <f t="shared" si="1"/>
        <v>480000</v>
      </c>
    </row>
    <row r="129" spans="1:15" x14ac:dyDescent="0.25">
      <c r="A129" t="s">
        <v>277</v>
      </c>
      <c r="B129" t="s">
        <v>15</v>
      </c>
      <c r="C129" t="str">
        <f>VLOOKUP(B129,Table_TechBridge_Task_8_Dataset[#All],2,FALSE)</f>
        <v>Chinedu Obi</v>
      </c>
      <c r="D129" t="str">
        <f>VLOOKUP(B129,Table_TechBridge_Task_8_Dataset[#All],3,FALSE)</f>
        <v>Port Harcourt</v>
      </c>
      <c r="E129" t="str">
        <f>VLOOKUP(B129,Table_TechBridge_Task_8_Dataset[#All],4,FALSE)</f>
        <v>Corporate</v>
      </c>
      <c r="F129" t="s">
        <v>82</v>
      </c>
      <c r="G129" t="str">
        <f>VLOOKUP(F129,Table_TechBridge_Task_8_Dataset_1[#All],2,FALSE)</f>
        <v>Headset</v>
      </c>
      <c r="H129" t="str">
        <f>VLOOKUP(F129,Table_TechBridge_Task_8_Dataset_1[#All],3,FALSE)</f>
        <v>Accessories</v>
      </c>
      <c r="I129" s="13">
        <v>5</v>
      </c>
      <c r="J129" s="4">
        <f>VLOOKUP(F129,Table_TechBridge_Task_8_Dataset_1[#All],4,FALSE)</f>
        <v>25000</v>
      </c>
      <c r="K129" s="4">
        <v>0</v>
      </c>
      <c r="L129" s="5" t="s">
        <v>134</v>
      </c>
      <c r="M129" s="4">
        <f t="shared" ref="M129:M150" si="2">(I129*J129)*(1 - K129)</f>
        <v>125000</v>
      </c>
    </row>
    <row r="130" spans="1:15" x14ac:dyDescent="0.25">
      <c r="A130" t="s">
        <v>278</v>
      </c>
      <c r="B130" t="s">
        <v>35</v>
      </c>
      <c r="C130" t="str">
        <f>VLOOKUP(B130,Table_TechBridge_Task_8_Dataset[#All],2,FALSE)</f>
        <v>Esther James</v>
      </c>
      <c r="D130" t="str">
        <f>VLOOKUP(B130,Table_TechBridge_Task_8_Dataset[#All],3,FALSE)</f>
        <v>Warri</v>
      </c>
      <c r="E130" t="str">
        <f>VLOOKUP(B130,Table_TechBridge_Task_8_Dataset[#All],4,FALSE)</f>
        <v>Retail</v>
      </c>
      <c r="F130" t="s">
        <v>64</v>
      </c>
      <c r="G130" t="str">
        <f>VLOOKUP(F130,Table_TechBridge_Task_8_Dataset_1[#All],2,FALSE)</f>
        <v>Laptop</v>
      </c>
      <c r="H130" t="str">
        <f>VLOOKUP(F130,Table_TechBridge_Task_8_Dataset_1[#All],3,FALSE)</f>
        <v>Electronics</v>
      </c>
      <c r="I130" s="13">
        <v>1</v>
      </c>
      <c r="J130" s="4">
        <f>VLOOKUP(F130,Table_TechBridge_Task_8_Dataset_1[#All],4,FALSE)</f>
        <v>450000</v>
      </c>
      <c r="K130" s="4">
        <v>0</v>
      </c>
      <c r="L130" s="5" t="s">
        <v>136</v>
      </c>
      <c r="M130" s="4">
        <f t="shared" si="2"/>
        <v>450000</v>
      </c>
      <c r="O130" s="13"/>
    </row>
    <row r="131" spans="1:15" x14ac:dyDescent="0.25">
      <c r="A131" t="s">
        <v>279</v>
      </c>
      <c r="B131" t="s">
        <v>54</v>
      </c>
      <c r="C131" t="str">
        <f>VLOOKUP(B131,Table_TechBridge_Task_8_Dataset[#All],2,FALSE)</f>
        <v>Kelvin George</v>
      </c>
      <c r="D131" t="str">
        <f>VLOOKUP(B131,Table_TechBridge_Task_8_Dataset[#All],3,FALSE)</f>
        <v>Port Harcourt</v>
      </c>
      <c r="E131" t="str">
        <f>VLOOKUP(B131,Table_TechBridge_Task_8_Dataset[#All],4,FALSE)</f>
        <v>Retail</v>
      </c>
      <c r="F131" t="s">
        <v>72</v>
      </c>
      <c r="G131" t="str">
        <f>VLOOKUP(F131,Table_TechBridge_Task_8_Dataset_1[#All],2,FALSE)</f>
        <v>Mouse</v>
      </c>
      <c r="H131" t="str">
        <f>VLOOKUP(F131,Table_TechBridge_Task_8_Dataset_1[#All],3,FALSE)</f>
        <v>Accessories</v>
      </c>
      <c r="I131" s="13">
        <v>2</v>
      </c>
      <c r="J131" s="4">
        <f>VLOOKUP(F131,Table_TechBridge_Task_8_Dataset_1[#All],4,FALSE)</f>
        <v>8000</v>
      </c>
      <c r="K131" s="4">
        <v>0</v>
      </c>
      <c r="L131" s="5" t="s">
        <v>138</v>
      </c>
      <c r="M131" s="4">
        <f t="shared" si="2"/>
        <v>16000</v>
      </c>
    </row>
    <row r="132" spans="1:15" x14ac:dyDescent="0.25">
      <c r="A132" t="s">
        <v>280</v>
      </c>
      <c r="B132" t="s">
        <v>18</v>
      </c>
      <c r="C132" t="str">
        <f>VLOOKUP(B132,Table_TechBridge_Task_8_Dataset[#All],2,FALSE)</f>
        <v>Grace Eze</v>
      </c>
      <c r="D132" t="str">
        <f>VLOOKUP(B132,Table_TechBridge_Task_8_Dataset[#All],3,FALSE)</f>
        <v>Benin City</v>
      </c>
      <c r="E132" t="str">
        <f>VLOOKUP(B132,Table_TechBridge_Task_8_Dataset[#All],4,FALSE)</f>
        <v>Retail</v>
      </c>
      <c r="F132" t="s">
        <v>80</v>
      </c>
      <c r="G132" t="str">
        <f>VLOOKUP(F132,Table_TechBridge_Task_8_Dataset_1[#All],2,FALSE)</f>
        <v>Desk</v>
      </c>
      <c r="H132" t="str">
        <f>VLOOKUP(F132,Table_TechBridge_Task_8_Dataset_1[#All],3,FALSE)</f>
        <v>Furniture</v>
      </c>
      <c r="I132" s="13">
        <v>3</v>
      </c>
      <c r="J132" s="4">
        <f>VLOOKUP(F132,Table_TechBridge_Task_8_Dataset_1[#All],4,FALSE)</f>
        <v>140000</v>
      </c>
      <c r="K132" s="4">
        <v>0.1</v>
      </c>
      <c r="L132" s="5" t="s">
        <v>140</v>
      </c>
      <c r="M132" s="4">
        <f t="shared" si="2"/>
        <v>378000</v>
      </c>
    </row>
    <row r="133" spans="1:15" x14ac:dyDescent="0.25">
      <c r="A133" t="s">
        <v>281</v>
      </c>
      <c r="B133" t="s">
        <v>38</v>
      </c>
      <c r="C133" t="str">
        <f>VLOOKUP(B133,Table_TechBridge_Task_8_Dataset[#All],2,FALSE)</f>
        <v>David Umeh</v>
      </c>
      <c r="D133" t="str">
        <f>VLOOKUP(B133,Table_TechBridge_Task_8_Dataset[#All],3,FALSE)</f>
        <v>Asaba</v>
      </c>
      <c r="E133" t="str">
        <f>VLOOKUP(B133,Table_TechBridge_Task_8_Dataset[#All],4,FALSE)</f>
        <v>Corporate</v>
      </c>
      <c r="F133" t="s">
        <v>86</v>
      </c>
      <c r="G133" t="str">
        <f>VLOOKUP(F133,Table_TechBridge_Task_8_Dataset_1[#All],2,FALSE)</f>
        <v>External Drive</v>
      </c>
      <c r="H133" t="str">
        <f>VLOOKUP(F133,Table_TechBridge_Task_8_Dataset_1[#All],3,FALSE)</f>
        <v>Electronics</v>
      </c>
      <c r="I133" s="13">
        <v>4</v>
      </c>
      <c r="J133" s="4">
        <f>VLOOKUP(F133,Table_TechBridge_Task_8_Dataset_1[#All],4,FALSE)</f>
        <v>75000</v>
      </c>
      <c r="K133" s="4">
        <v>0.05</v>
      </c>
      <c r="L133" s="5" t="s">
        <v>142</v>
      </c>
      <c r="M133" s="4">
        <f t="shared" si="2"/>
        <v>285000</v>
      </c>
    </row>
    <row r="134" spans="1:15" x14ac:dyDescent="0.25">
      <c r="A134" t="s">
        <v>282</v>
      </c>
      <c r="B134" t="s">
        <v>56</v>
      </c>
      <c r="C134" t="str">
        <f>VLOOKUP(B134,Table_TechBridge_Task_8_Dataset[#All],2,FALSE)</f>
        <v>Mercy John</v>
      </c>
      <c r="D134" t="str">
        <f>VLOOKUP(B134,Table_TechBridge_Task_8_Dataset[#All],3,FALSE)</f>
        <v>Benin City</v>
      </c>
      <c r="E134" t="str">
        <f>VLOOKUP(B134,Table_TechBridge_Task_8_Dataset[#All],4,FALSE)</f>
        <v>Wholesale</v>
      </c>
      <c r="F134" t="s">
        <v>69</v>
      </c>
      <c r="G134" t="str">
        <f>VLOOKUP(F134,Table_TechBridge_Task_8_Dataset_1[#All],2,FALSE)</f>
        <v>Keyboard</v>
      </c>
      <c r="H134" t="str">
        <f>VLOOKUP(F134,Table_TechBridge_Task_8_Dataset_1[#All],3,FALSE)</f>
        <v>Accessories</v>
      </c>
      <c r="I134" s="13">
        <v>5</v>
      </c>
      <c r="J134" s="4">
        <f>VLOOKUP(F134,Table_TechBridge_Task_8_Dataset_1[#All],4,FALSE)</f>
        <v>15000</v>
      </c>
      <c r="K134" s="4">
        <v>0</v>
      </c>
      <c r="L134" s="5" t="s">
        <v>144</v>
      </c>
      <c r="M134" s="4">
        <f t="shared" si="2"/>
        <v>75000</v>
      </c>
    </row>
    <row r="135" spans="1:15" x14ac:dyDescent="0.25">
      <c r="A135" t="s">
        <v>283</v>
      </c>
      <c r="B135" t="s">
        <v>21</v>
      </c>
      <c r="C135" t="str">
        <f>VLOOKUP(B135,Table_TechBridge_Task_8_Dataset[#All],2,FALSE)</f>
        <v>Samuel Adeyemi</v>
      </c>
      <c r="D135" t="str">
        <f>VLOOKUP(B135,Table_TechBridge_Task_8_Dataset[#All],3,FALSE)</f>
        <v>Ibadan</v>
      </c>
      <c r="E135" t="str">
        <f>VLOOKUP(B135,Table_TechBridge_Task_8_Dataset[#All],4,FALSE)</f>
        <v>Wholesale</v>
      </c>
      <c r="F135" t="s">
        <v>77</v>
      </c>
      <c r="G135" t="str">
        <f>VLOOKUP(F135,Table_TechBridge_Task_8_Dataset_1[#All],2,FALSE)</f>
        <v>Office Chair</v>
      </c>
      <c r="H135" t="str">
        <f>VLOOKUP(F135,Table_TechBridge_Task_8_Dataset_1[#All],3,FALSE)</f>
        <v>Furniture</v>
      </c>
      <c r="I135" s="13">
        <v>1</v>
      </c>
      <c r="J135" s="4">
        <f>VLOOKUP(F135,Table_TechBridge_Task_8_Dataset_1[#All],4,FALSE)</f>
        <v>95000</v>
      </c>
      <c r="K135" s="4">
        <v>0</v>
      </c>
      <c r="L135" s="5" t="s">
        <v>146</v>
      </c>
      <c r="M135" s="4">
        <f t="shared" si="2"/>
        <v>95000</v>
      </c>
    </row>
    <row r="136" spans="1:15" x14ac:dyDescent="0.25">
      <c r="A136" t="s">
        <v>284</v>
      </c>
      <c r="B136" t="s">
        <v>41</v>
      </c>
      <c r="C136" t="str">
        <f>VLOOKUP(B136,Table_TechBridge_Task_8_Dataset[#All],2,FALSE)</f>
        <v>Joy Akpan</v>
      </c>
      <c r="D136" t="str">
        <f>VLOOKUP(B136,Table_TechBridge_Task_8_Dataset[#All],3,FALSE)</f>
        <v>Uyo</v>
      </c>
      <c r="E136" t="str">
        <f>VLOOKUP(B136,Table_TechBridge_Task_8_Dataset[#All],4,FALSE)</f>
        <v>Retail</v>
      </c>
      <c r="F136" t="s">
        <v>84</v>
      </c>
      <c r="G136" t="str">
        <f>VLOOKUP(F136,Table_TechBridge_Task_8_Dataset_1[#All],2,FALSE)</f>
        <v>Tablet</v>
      </c>
      <c r="H136" t="str">
        <f>VLOOKUP(F136,Table_TechBridge_Task_8_Dataset_1[#All],3,FALSE)</f>
        <v>Electronics</v>
      </c>
      <c r="I136" s="13">
        <v>2</v>
      </c>
      <c r="J136" s="4">
        <f>VLOOKUP(F136,Table_TechBridge_Task_8_Dataset_1[#All],4,FALSE)</f>
        <v>220000</v>
      </c>
      <c r="K136" s="4">
        <v>0</v>
      </c>
      <c r="L136" s="5" t="s">
        <v>148</v>
      </c>
      <c r="M136" s="4">
        <f t="shared" si="2"/>
        <v>440000</v>
      </c>
    </row>
    <row r="137" spans="1:15" x14ac:dyDescent="0.25">
      <c r="A137" t="s">
        <v>285</v>
      </c>
      <c r="B137" t="s">
        <v>58</v>
      </c>
      <c r="C137" t="str">
        <f>VLOOKUP(B137,Table_TechBridge_Task_8_Dataset[#All],2,FALSE)</f>
        <v>Tunde Adebayo</v>
      </c>
      <c r="D137" t="str">
        <f>VLOOKUP(B137,Table_TechBridge_Task_8_Dataset[#All],3,FALSE)</f>
        <v>Ibadan</v>
      </c>
      <c r="E137" t="str">
        <f>VLOOKUP(B137,Table_TechBridge_Task_8_Dataset[#All],4,FALSE)</f>
        <v>Corporate</v>
      </c>
      <c r="F137" t="s">
        <v>67</v>
      </c>
      <c r="G137" t="str">
        <f>VLOOKUP(F137,Table_TechBridge_Task_8_Dataset_1[#All],2,FALSE)</f>
        <v>Monitor</v>
      </c>
      <c r="H137" t="str">
        <f>VLOOKUP(F137,Table_TechBridge_Task_8_Dataset_1[#All],3,FALSE)</f>
        <v>Electronics</v>
      </c>
      <c r="I137" s="13">
        <v>3</v>
      </c>
      <c r="J137" s="4">
        <f>VLOOKUP(F137,Table_TechBridge_Task_8_Dataset_1[#All],4,FALSE)</f>
        <v>180000</v>
      </c>
      <c r="K137" s="4">
        <v>0</v>
      </c>
      <c r="L137" s="5" t="s">
        <v>150</v>
      </c>
      <c r="M137" s="4">
        <f t="shared" si="2"/>
        <v>540000</v>
      </c>
    </row>
    <row r="138" spans="1:15" x14ac:dyDescent="0.25">
      <c r="A138" t="s">
        <v>286</v>
      </c>
      <c r="B138" t="s">
        <v>25</v>
      </c>
      <c r="C138" t="str">
        <f>VLOOKUP(B138,Table_TechBridge_Task_8_Dataset[#All],2,FALSE)</f>
        <v>Fatima Musa</v>
      </c>
      <c r="D138" t="str">
        <f>VLOOKUP(B138,Table_TechBridge_Task_8_Dataset[#All],3,FALSE)</f>
        <v>Kaduna</v>
      </c>
      <c r="E138" t="str">
        <f>VLOOKUP(B138,Table_TechBridge_Task_8_Dataset[#All],4,FALSE)</f>
        <v>Retail</v>
      </c>
      <c r="F138" t="s">
        <v>74</v>
      </c>
      <c r="G138" t="str">
        <f>VLOOKUP(F138,Table_TechBridge_Task_8_Dataset_1[#All],2,FALSE)</f>
        <v>Printer</v>
      </c>
      <c r="H138" t="str">
        <f>VLOOKUP(F138,Table_TechBridge_Task_8_Dataset_1[#All],3,FALSE)</f>
        <v>Office Equipment</v>
      </c>
      <c r="I138" s="13">
        <v>4</v>
      </c>
      <c r="J138" s="4">
        <f>VLOOKUP(F138,Table_TechBridge_Task_8_Dataset_1[#All],4,FALSE)</f>
        <v>120000</v>
      </c>
      <c r="K138" s="4">
        <v>0</v>
      </c>
      <c r="L138" s="5" t="s">
        <v>152</v>
      </c>
      <c r="M138" s="4">
        <f t="shared" si="2"/>
        <v>480000</v>
      </c>
    </row>
    <row r="139" spans="1:15" x14ac:dyDescent="0.25">
      <c r="A139" t="s">
        <v>287</v>
      </c>
      <c r="B139" t="s">
        <v>44</v>
      </c>
      <c r="C139" t="str">
        <f>VLOOKUP(B139,Table_TechBridge_Task_8_Dataset[#All],2,FALSE)</f>
        <v>Michael Joseph</v>
      </c>
      <c r="D139" t="str">
        <f>VLOOKUP(B139,Table_TechBridge_Task_8_Dataset[#All],3,FALSE)</f>
        <v>Calabar</v>
      </c>
      <c r="E139" t="str">
        <f>VLOOKUP(B139,Table_TechBridge_Task_8_Dataset[#All],4,FALSE)</f>
        <v>Wholesale</v>
      </c>
      <c r="F139" t="s">
        <v>82</v>
      </c>
      <c r="G139" t="str">
        <f>VLOOKUP(F139,Table_TechBridge_Task_8_Dataset_1[#All],2,FALSE)</f>
        <v>Headset</v>
      </c>
      <c r="H139" t="str">
        <f>VLOOKUP(F139,Table_TechBridge_Task_8_Dataset_1[#All],3,FALSE)</f>
        <v>Accessories</v>
      </c>
      <c r="I139" s="13">
        <v>5</v>
      </c>
      <c r="J139" s="4">
        <f>VLOOKUP(F139,Table_TechBridge_Task_8_Dataset_1[#All],4,FALSE)</f>
        <v>25000</v>
      </c>
      <c r="K139" s="4">
        <v>0</v>
      </c>
      <c r="L139" s="5" t="s">
        <v>154</v>
      </c>
      <c r="M139" s="4">
        <f t="shared" si="2"/>
        <v>125000</v>
      </c>
    </row>
    <row r="140" spans="1:15" x14ac:dyDescent="0.25">
      <c r="A140" t="s">
        <v>288</v>
      </c>
      <c r="B140" t="s">
        <v>4</v>
      </c>
      <c r="C140" t="str">
        <f>VLOOKUP(B140,Table_TechBridge_Task_8_Dataset[#All],2,FALSE)</f>
        <v>Aisha Bello</v>
      </c>
      <c r="D140" t="str">
        <f>VLOOKUP(B140,Table_TechBridge_Task_8_Dataset[#All],3,FALSE)</f>
        <v>Lagos</v>
      </c>
      <c r="E140" t="str">
        <f>VLOOKUP(B140,Table_TechBridge_Task_8_Dataset[#All],4,FALSE)</f>
        <v>Retail</v>
      </c>
      <c r="F140" t="s">
        <v>64</v>
      </c>
      <c r="G140" t="str">
        <f>VLOOKUP(F140,Table_TechBridge_Task_8_Dataset_1[#All],2,FALSE)</f>
        <v>Laptop</v>
      </c>
      <c r="H140" t="str">
        <f>VLOOKUP(F140,Table_TechBridge_Task_8_Dataset_1[#All],3,FALSE)</f>
        <v>Electronics</v>
      </c>
      <c r="I140" s="13">
        <v>1</v>
      </c>
      <c r="J140" s="4">
        <f>VLOOKUP(F140,Table_TechBridge_Task_8_Dataset_1[#All],4,FALSE)</f>
        <v>450000</v>
      </c>
      <c r="K140" s="4">
        <v>0.25</v>
      </c>
      <c r="L140" s="5" t="s">
        <v>156</v>
      </c>
      <c r="M140" s="4">
        <f t="shared" si="2"/>
        <v>337500</v>
      </c>
    </row>
    <row r="141" spans="1:15" x14ac:dyDescent="0.25">
      <c r="A141" t="s">
        <v>289</v>
      </c>
      <c r="B141" t="s">
        <v>28</v>
      </c>
      <c r="C141" t="str">
        <f>VLOOKUP(B141,Table_TechBridge_Task_8_Dataset[#All],2,FALSE)</f>
        <v>Emeka Nwosu</v>
      </c>
      <c r="D141" t="str">
        <f>VLOOKUP(B141,Table_TechBridge_Task_8_Dataset[#All],3,FALSE)</f>
        <v>Enugu</v>
      </c>
      <c r="E141" t="str">
        <f>VLOOKUP(B141,Table_TechBridge_Task_8_Dataset[#All],4,FALSE)</f>
        <v>Corporate</v>
      </c>
      <c r="F141" t="s">
        <v>72</v>
      </c>
      <c r="G141" t="str">
        <f>VLOOKUP(F141,Table_TechBridge_Task_8_Dataset_1[#All],2,FALSE)</f>
        <v>Mouse</v>
      </c>
      <c r="H141" t="str">
        <f>VLOOKUP(F141,Table_TechBridge_Task_8_Dataset_1[#All],3,FALSE)</f>
        <v>Accessories</v>
      </c>
      <c r="I141" s="13">
        <v>2</v>
      </c>
      <c r="J141" s="4">
        <f>VLOOKUP(F141,Table_TechBridge_Task_8_Dataset_1[#All],4,FALSE)</f>
        <v>8000</v>
      </c>
      <c r="K141" s="4">
        <v>0</v>
      </c>
      <c r="L141" s="5" t="s">
        <v>158</v>
      </c>
      <c r="M141" s="4">
        <f t="shared" si="2"/>
        <v>16000</v>
      </c>
    </row>
    <row r="142" spans="1:15" x14ac:dyDescent="0.25">
      <c r="A142" t="s">
        <v>290</v>
      </c>
      <c r="B142" t="s">
        <v>47</v>
      </c>
      <c r="C142" t="str">
        <f>VLOOKUP(B142,Table_TechBridge_Task_8_Dataset[#All],2,FALSE)</f>
        <v>Ruth Daniel</v>
      </c>
      <c r="D142" t="str">
        <f>VLOOKUP(B142,Table_TechBridge_Task_8_Dataset[#All],3,FALSE)</f>
        <v>Lagos</v>
      </c>
      <c r="E142" t="str">
        <f>VLOOKUP(B142,Table_TechBridge_Task_8_Dataset[#All],4,FALSE)</f>
        <v>Corporate</v>
      </c>
      <c r="F142" t="s">
        <v>80</v>
      </c>
      <c r="G142" t="str">
        <f>VLOOKUP(F142,Table_TechBridge_Task_8_Dataset_1[#All],2,FALSE)</f>
        <v>Desk</v>
      </c>
      <c r="H142" t="str">
        <f>VLOOKUP(F142,Table_TechBridge_Task_8_Dataset_1[#All],3,FALSE)</f>
        <v>Furniture</v>
      </c>
      <c r="I142" s="13">
        <v>3</v>
      </c>
      <c r="J142" s="4">
        <f>VLOOKUP(F142,Table_TechBridge_Task_8_Dataset_1[#All],4,FALSE)</f>
        <v>140000</v>
      </c>
      <c r="K142" s="4">
        <v>0</v>
      </c>
      <c r="L142" s="5" t="s">
        <v>160</v>
      </c>
      <c r="M142" s="4">
        <f t="shared" si="2"/>
        <v>420000</v>
      </c>
    </row>
    <row r="143" spans="1:15" x14ac:dyDescent="0.25">
      <c r="A143" t="s">
        <v>291</v>
      </c>
      <c r="B143" t="s">
        <v>8</v>
      </c>
      <c r="C143" t="str">
        <f>VLOOKUP(B143,Table_TechBridge_Task_8_Dataset[#All],2,FALSE)</f>
        <v>Daniel Okafor</v>
      </c>
      <c r="D143" t="str">
        <f>VLOOKUP(B143,Table_TechBridge_Task_8_Dataset[#All],3,FALSE)</f>
        <v>Abuja</v>
      </c>
      <c r="E143" t="str">
        <f>VLOOKUP(B143,Table_TechBridge_Task_8_Dataset[#All],4,FALSE)</f>
        <v>Corporate</v>
      </c>
      <c r="F143" t="s">
        <v>86</v>
      </c>
      <c r="G143" t="str">
        <f>VLOOKUP(F143,Table_TechBridge_Task_8_Dataset_1[#All],2,FALSE)</f>
        <v>External Drive</v>
      </c>
      <c r="H143" t="str">
        <f>VLOOKUP(F143,Table_TechBridge_Task_8_Dataset_1[#All],3,FALSE)</f>
        <v>Electronics</v>
      </c>
      <c r="I143" s="13">
        <v>4</v>
      </c>
      <c r="J143" s="4">
        <f>VLOOKUP(F143,Table_TechBridge_Task_8_Dataset_1[#All],4,FALSE)</f>
        <v>75000</v>
      </c>
      <c r="K143" s="4">
        <v>0.1</v>
      </c>
      <c r="L143" s="5" t="s">
        <v>162</v>
      </c>
      <c r="M143" s="4">
        <f t="shared" si="2"/>
        <v>270000</v>
      </c>
    </row>
    <row r="144" spans="1:15" x14ac:dyDescent="0.25">
      <c r="A144" t="s">
        <v>292</v>
      </c>
      <c r="B144" t="s">
        <v>31</v>
      </c>
      <c r="C144" t="str">
        <f>VLOOKUP(B144,Table_TechBridge_Task_8_Dataset[#All],2,FALSE)</f>
        <v>Blessing Ojo</v>
      </c>
      <c r="D144" t="str">
        <f>VLOOKUP(B144,Table_TechBridge_Task_8_Dataset[#All],3,FALSE)</f>
        <v>Lagos</v>
      </c>
      <c r="E144" t="str">
        <f>VLOOKUP(B144,Table_TechBridge_Task_8_Dataset[#All],4,FALSE)</f>
        <v>Wholesale</v>
      </c>
      <c r="F144" t="s">
        <v>69</v>
      </c>
      <c r="G144" t="str">
        <f>VLOOKUP(F144,Table_TechBridge_Task_8_Dataset_1[#All],2,FALSE)</f>
        <v>Keyboard</v>
      </c>
      <c r="H144" t="str">
        <f>VLOOKUP(F144,Table_TechBridge_Task_8_Dataset_1[#All],3,FALSE)</f>
        <v>Accessories</v>
      </c>
      <c r="I144" s="13">
        <v>5</v>
      </c>
      <c r="J144" s="4">
        <f>VLOOKUP(F144,Table_TechBridge_Task_8_Dataset_1[#All],4,FALSE)</f>
        <v>15000</v>
      </c>
      <c r="K144" s="4">
        <v>0</v>
      </c>
      <c r="L144" s="5" t="s">
        <v>164</v>
      </c>
      <c r="M144" s="4">
        <f t="shared" si="2"/>
        <v>75000</v>
      </c>
    </row>
    <row r="145" spans="1:13" x14ac:dyDescent="0.25">
      <c r="A145" t="s">
        <v>293</v>
      </c>
      <c r="B145" t="s">
        <v>49</v>
      </c>
      <c r="C145" t="str">
        <f>VLOOKUP(B145,Table_TechBridge_Task_8_Dataset[#All],2,FALSE)</f>
        <v>Peter Williams</v>
      </c>
      <c r="D145" t="str">
        <f>VLOOKUP(B145,Table_TechBridge_Task_8_Dataset[#All],3,FALSE)</f>
        <v>Abeokuta</v>
      </c>
      <c r="E145" t="str">
        <f>VLOOKUP(B145,Table_TechBridge_Task_8_Dataset[#All],4,FALSE)</f>
        <v>Retail</v>
      </c>
      <c r="F145" t="s">
        <v>77</v>
      </c>
      <c r="G145" t="str">
        <f>VLOOKUP(F145,Table_TechBridge_Task_8_Dataset_1[#All],2,FALSE)</f>
        <v>Office Chair</v>
      </c>
      <c r="H145" t="str">
        <f>VLOOKUP(F145,Table_TechBridge_Task_8_Dataset_1[#All],3,FALSE)</f>
        <v>Furniture</v>
      </c>
      <c r="I145" s="13">
        <v>1</v>
      </c>
      <c r="J145" s="4">
        <f>VLOOKUP(F145,Table_TechBridge_Task_8_Dataset_1[#All],4,FALSE)</f>
        <v>95000</v>
      </c>
      <c r="K145" s="4">
        <v>0</v>
      </c>
      <c r="L145" s="5" t="s">
        <v>166</v>
      </c>
      <c r="M145" s="4">
        <f t="shared" si="2"/>
        <v>95000</v>
      </c>
    </row>
    <row r="146" spans="1:13" x14ac:dyDescent="0.25">
      <c r="A146" t="s">
        <v>294</v>
      </c>
      <c r="B146" t="s">
        <v>12</v>
      </c>
      <c r="C146" t="str">
        <f>VLOOKUP(B146,Table_TechBridge_Task_8_Dataset[#All],2,FALSE)</f>
        <v>Mariam Yusuf</v>
      </c>
      <c r="D146" t="str">
        <f>VLOOKUP(B146,Table_TechBridge_Task_8_Dataset[#All],3,FALSE)</f>
        <v>Kano</v>
      </c>
      <c r="E146" t="str">
        <f>VLOOKUP(B146,Table_TechBridge_Task_8_Dataset[#All],4,FALSE)</f>
        <v>Retail</v>
      </c>
      <c r="F146" t="s">
        <v>84</v>
      </c>
      <c r="G146" t="str">
        <f>VLOOKUP(F146,Table_TechBridge_Task_8_Dataset_1[#All],2,FALSE)</f>
        <v>Tablet</v>
      </c>
      <c r="H146" t="str">
        <f>VLOOKUP(F146,Table_TechBridge_Task_8_Dataset_1[#All],3,FALSE)</f>
        <v>Electronics</v>
      </c>
      <c r="I146" s="13">
        <v>2</v>
      </c>
      <c r="J146" s="4">
        <f>VLOOKUP(F146,Table_TechBridge_Task_8_Dataset_1[#All],4,FALSE)</f>
        <v>220000</v>
      </c>
      <c r="K146" s="4">
        <v>0</v>
      </c>
      <c r="L146" s="5" t="s">
        <v>168</v>
      </c>
      <c r="M146" s="4">
        <f t="shared" si="2"/>
        <v>440000</v>
      </c>
    </row>
    <row r="147" spans="1:13" x14ac:dyDescent="0.25">
      <c r="A147" t="s">
        <v>295</v>
      </c>
      <c r="B147" t="s">
        <v>33</v>
      </c>
      <c r="C147" t="str">
        <f>VLOOKUP(B147,Table_TechBridge_Task_8_Dataset[#All],2,FALSE)</f>
        <v>Ibrahim Sani</v>
      </c>
      <c r="D147" t="str">
        <f>VLOOKUP(B147,Table_TechBridge_Task_8_Dataset[#All],3,FALSE)</f>
        <v>Abuja</v>
      </c>
      <c r="E147" t="str">
        <f>VLOOKUP(B147,Table_TechBridge_Task_8_Dataset[#All],4,FALSE)</f>
        <v>Retail</v>
      </c>
      <c r="F147" t="s">
        <v>67</v>
      </c>
      <c r="G147" t="str">
        <f>VLOOKUP(F147,Table_TechBridge_Task_8_Dataset_1[#All],2,FALSE)</f>
        <v>Monitor</v>
      </c>
      <c r="H147" t="str">
        <f>VLOOKUP(F147,Table_TechBridge_Task_8_Dataset_1[#All],3,FALSE)</f>
        <v>Electronics</v>
      </c>
      <c r="I147" s="13">
        <v>3</v>
      </c>
      <c r="J147" s="4">
        <f>VLOOKUP(F147,Table_TechBridge_Task_8_Dataset_1[#All],4,FALSE)</f>
        <v>180000</v>
      </c>
      <c r="K147" s="4">
        <v>0.05</v>
      </c>
      <c r="L147" s="5" t="s">
        <v>170</v>
      </c>
      <c r="M147" s="4">
        <f t="shared" si="2"/>
        <v>513000</v>
      </c>
    </row>
    <row r="148" spans="1:13" x14ac:dyDescent="0.25">
      <c r="A148" t="s">
        <v>296</v>
      </c>
      <c r="B148" t="s">
        <v>52</v>
      </c>
      <c r="C148" t="str">
        <f>VLOOKUP(B148,Table_TechBridge_Task_8_Dataset[#All],2,FALSE)</f>
        <v>Hauwa Ali</v>
      </c>
      <c r="D148" t="str">
        <f>VLOOKUP(B148,Table_TechBridge_Task_8_Dataset[#All],3,FALSE)</f>
        <v>Kano</v>
      </c>
      <c r="E148" t="str">
        <f>VLOOKUP(B148,Table_TechBridge_Task_8_Dataset[#All],4,FALSE)</f>
        <v>Corporate</v>
      </c>
      <c r="F148" t="s">
        <v>74</v>
      </c>
      <c r="G148" s="9" t="str">
        <f>VLOOKUP(F148,Table_TechBridge_Task_8_Dataset_1[#All],2,FALSE)</f>
        <v>Printer</v>
      </c>
      <c r="H148" s="9" t="str">
        <f>VLOOKUP(F148,Table_TechBridge_Task_8_Dataset_1[#All],3,FALSE)</f>
        <v>Office Equipment</v>
      </c>
      <c r="I148" s="15">
        <v>4</v>
      </c>
      <c r="J148" s="12">
        <f>VLOOKUP(F148,Table_TechBridge_Task_8_Dataset_1[#All],4,FALSE)</f>
        <v>120000</v>
      </c>
      <c r="K148" s="12">
        <v>0</v>
      </c>
      <c r="L148" s="5" t="s">
        <v>173</v>
      </c>
      <c r="M148" s="12">
        <f t="shared" si="2"/>
        <v>480000</v>
      </c>
    </row>
    <row r="149" spans="1:13" x14ac:dyDescent="0.25">
      <c r="A149" t="s">
        <v>297</v>
      </c>
      <c r="B149" t="s">
        <v>15</v>
      </c>
      <c r="C149" t="str">
        <f>VLOOKUP(B149,Table_TechBridge_Task_8_Dataset[#All],2,FALSE)</f>
        <v>Chinedu Obi</v>
      </c>
      <c r="D149" t="str">
        <f>VLOOKUP(B149,Table_TechBridge_Task_8_Dataset[#All],3,FALSE)</f>
        <v>Port Harcourt</v>
      </c>
      <c r="E149" t="str">
        <f>VLOOKUP(B149,Table_TechBridge_Task_8_Dataset[#All],4,FALSE)</f>
        <v>Corporate</v>
      </c>
      <c r="F149" t="s">
        <v>82</v>
      </c>
      <c r="G149" s="9" t="str">
        <f>VLOOKUP(F149,Table_TechBridge_Task_8_Dataset_1[#All],2,FALSE)</f>
        <v>Headset</v>
      </c>
      <c r="H149" s="9" t="str">
        <f>VLOOKUP(F149,Table_TechBridge_Task_8_Dataset_1[#All],3,FALSE)</f>
        <v>Accessories</v>
      </c>
      <c r="I149" s="15">
        <v>5</v>
      </c>
      <c r="J149" s="12">
        <f>VLOOKUP(F149,Table_TechBridge_Task_8_Dataset_1[#All],4,FALSE)</f>
        <v>25000</v>
      </c>
      <c r="K149" s="12">
        <v>0</v>
      </c>
      <c r="L149" s="5" t="s">
        <v>175</v>
      </c>
      <c r="M149" s="12">
        <f t="shared" si="2"/>
        <v>125000</v>
      </c>
    </row>
    <row r="150" spans="1:13" x14ac:dyDescent="0.25">
      <c r="A150" t="s">
        <v>298</v>
      </c>
      <c r="B150" t="s">
        <v>35</v>
      </c>
      <c r="C150" t="str">
        <f>VLOOKUP(B150,Table_TechBridge_Task_8_Dataset[#All],2,FALSE)</f>
        <v>Esther James</v>
      </c>
      <c r="D150" t="str">
        <f>VLOOKUP(B150,Table_TechBridge_Task_8_Dataset[#All],3,FALSE)</f>
        <v>Warri</v>
      </c>
      <c r="E150" t="str">
        <f>VLOOKUP(B150,Table_TechBridge_Task_8_Dataset[#All],4,FALSE)</f>
        <v>Retail</v>
      </c>
      <c r="F150" t="s">
        <v>64</v>
      </c>
      <c r="G150" s="9" t="str">
        <f>VLOOKUP(F150,Table_TechBridge_Task_8_Dataset_1[#All],2,FALSE)</f>
        <v>Laptop</v>
      </c>
      <c r="H150" s="9" t="str">
        <f>VLOOKUP(F150,Table_TechBridge_Task_8_Dataset_1[#All],3,FALSE)</f>
        <v>Electronics</v>
      </c>
      <c r="I150" s="15">
        <v>1</v>
      </c>
      <c r="J150" s="12">
        <f>VLOOKUP(F150,Table_TechBridge_Task_8_Dataset_1[#All],4,FALSE)</f>
        <v>450000</v>
      </c>
      <c r="K150" s="12">
        <v>0</v>
      </c>
      <c r="L150" s="5" t="s">
        <v>177</v>
      </c>
      <c r="M150" s="12">
        <f t="shared" si="2"/>
        <v>450000</v>
      </c>
    </row>
    <row r="151" spans="1:13" x14ac:dyDescent="0.25">
      <c r="G151" s="9"/>
      <c r="H151" s="9"/>
      <c r="I151" s="15"/>
      <c r="J151" s="12"/>
      <c r="K151" s="12"/>
      <c r="L151" s="5"/>
      <c r="M151" s="12"/>
    </row>
    <row r="152" spans="1:13" x14ac:dyDescent="0.25">
      <c r="G152" s="9"/>
      <c r="H152" s="9"/>
      <c r="I152" s="15"/>
      <c r="J152" s="12"/>
      <c r="K152" s="12"/>
      <c r="L152" s="5"/>
      <c r="M152" s="12"/>
    </row>
    <row r="153" spans="1:13" x14ac:dyDescent="0.25">
      <c r="G153" s="9"/>
      <c r="H153" s="9"/>
      <c r="I153" s="15"/>
      <c r="J153" s="12"/>
      <c r="K153" s="12"/>
      <c r="L153" s="5"/>
      <c r="M153" s="12"/>
    </row>
    <row r="154" spans="1:13" x14ac:dyDescent="0.25">
      <c r="G154" s="9"/>
      <c r="H154" s="9"/>
      <c r="I154" s="15"/>
      <c r="J154" s="12"/>
      <c r="K154" s="12"/>
      <c r="L154" s="5"/>
      <c r="M154" s="12"/>
    </row>
    <row r="155" spans="1:13" x14ac:dyDescent="0.25">
      <c r="G155" s="9"/>
      <c r="H155" s="9"/>
      <c r="I155" s="15"/>
      <c r="J155" s="12"/>
      <c r="K155" s="12"/>
      <c r="L155" s="5"/>
      <c r="M155" s="12"/>
    </row>
    <row r="156" spans="1:13" x14ac:dyDescent="0.25">
      <c r="G156" s="9"/>
      <c r="H156" s="9"/>
      <c r="I156" s="15"/>
      <c r="J156" s="12"/>
      <c r="K156" s="12"/>
      <c r="L156" s="5"/>
      <c r="M156" s="12"/>
    </row>
    <row r="157" spans="1:13" x14ac:dyDescent="0.25">
      <c r="G157" s="9"/>
      <c r="H157" s="9"/>
      <c r="I157" s="15"/>
      <c r="J157" s="12"/>
      <c r="K157" s="12"/>
      <c r="L157" s="5"/>
      <c r="M157" s="12"/>
    </row>
    <row r="158" spans="1:13" x14ac:dyDescent="0.25">
      <c r="G158" s="9"/>
      <c r="H158" s="9"/>
      <c r="I158" s="15"/>
      <c r="J158" s="12"/>
      <c r="K158" s="12"/>
      <c r="L158" s="5"/>
      <c r="M158" s="12"/>
    </row>
    <row r="159" spans="1:13" x14ac:dyDescent="0.25">
      <c r="G159" s="9"/>
      <c r="H159" s="9"/>
      <c r="I159" s="15"/>
      <c r="J159" s="12"/>
      <c r="K159" s="12"/>
      <c r="L159" s="5"/>
      <c r="M159" s="12"/>
    </row>
    <row r="160" spans="1:13" x14ac:dyDescent="0.25">
      <c r="G160" s="9"/>
      <c r="H160" s="9"/>
      <c r="I160" s="15"/>
      <c r="J160" s="12"/>
      <c r="K160" s="12"/>
      <c r="L160" s="5"/>
      <c r="M160" s="12"/>
    </row>
    <row r="161" spans="7:13" x14ac:dyDescent="0.25">
      <c r="G161" s="9"/>
      <c r="H161" s="9"/>
      <c r="I161" s="15"/>
      <c r="J161" s="12"/>
      <c r="K161" s="12"/>
      <c r="L161" s="5"/>
      <c r="M161" s="12"/>
    </row>
    <row r="162" spans="7:13" x14ac:dyDescent="0.25">
      <c r="G162" s="9"/>
      <c r="H162" s="9"/>
      <c r="I162" s="15"/>
      <c r="J162" s="12"/>
      <c r="K162" s="12"/>
      <c r="L162" s="5"/>
      <c r="M162" s="12"/>
    </row>
    <row r="163" spans="7:13" x14ac:dyDescent="0.25">
      <c r="G163" s="9"/>
      <c r="H163" s="9"/>
      <c r="I163" s="15"/>
      <c r="J163" s="12"/>
      <c r="K163" s="12"/>
      <c r="L163" s="5"/>
      <c r="M163" s="12"/>
    </row>
    <row r="164" spans="7:13" x14ac:dyDescent="0.25">
      <c r="G164" s="9"/>
      <c r="H164" s="9"/>
      <c r="I164" s="15"/>
      <c r="J164" s="12"/>
      <c r="K164" s="12"/>
      <c r="L164" s="5"/>
      <c r="M164" s="12"/>
    </row>
    <row r="165" spans="7:13" x14ac:dyDescent="0.25">
      <c r="G165" s="9"/>
      <c r="H165" s="9"/>
      <c r="I165" s="15"/>
      <c r="J165" s="12"/>
      <c r="K165" s="12"/>
      <c r="L165" s="5"/>
      <c r="M165" s="12"/>
    </row>
    <row r="166" spans="7:13" x14ac:dyDescent="0.25">
      <c r="G166" s="9"/>
      <c r="H166" s="9"/>
      <c r="I166" s="15"/>
      <c r="J166" s="12"/>
      <c r="K166" s="12"/>
      <c r="L166" s="5"/>
      <c r="M166" s="12"/>
    </row>
    <row r="167" spans="7:13" x14ac:dyDescent="0.25">
      <c r="G167" s="9"/>
      <c r="H167" s="9"/>
      <c r="I167" s="15"/>
      <c r="J167" s="12"/>
      <c r="K167" s="12"/>
      <c r="L167" s="5"/>
      <c r="M167" s="12"/>
    </row>
    <row r="168" spans="7:13" x14ac:dyDescent="0.25">
      <c r="G168" s="9"/>
      <c r="H168" s="9"/>
      <c r="I168" s="15"/>
      <c r="J168" s="12"/>
      <c r="K168" s="12"/>
      <c r="L168" s="5"/>
      <c r="M168" s="12"/>
    </row>
    <row r="169" spans="7:13" x14ac:dyDescent="0.25">
      <c r="G169" s="9"/>
      <c r="H169" s="9"/>
      <c r="I169" s="15"/>
      <c r="J169" s="12"/>
      <c r="K169" s="12"/>
      <c r="L169" s="5"/>
      <c r="M169" s="12"/>
    </row>
    <row r="170" spans="7:13" x14ac:dyDescent="0.25">
      <c r="G170" s="9"/>
      <c r="H170" s="9"/>
      <c r="I170" s="15"/>
      <c r="J170" s="12"/>
      <c r="K170" s="12"/>
      <c r="L170" s="5"/>
      <c r="M170" s="12"/>
    </row>
    <row r="171" spans="7:13" x14ac:dyDescent="0.25">
      <c r="G171" s="9"/>
      <c r="H171" s="9"/>
      <c r="I171" s="15"/>
      <c r="J171" s="12"/>
      <c r="K171" s="12"/>
      <c r="L171" s="5"/>
      <c r="M171" s="12"/>
    </row>
    <row r="172" spans="7:13" x14ac:dyDescent="0.25">
      <c r="G172" s="9"/>
      <c r="H172" s="9"/>
      <c r="I172" s="15"/>
      <c r="J172" s="12"/>
      <c r="K172" s="12"/>
      <c r="L172" s="5"/>
      <c r="M172" s="12"/>
    </row>
    <row r="173" spans="7:13" x14ac:dyDescent="0.25">
      <c r="G173" s="9"/>
      <c r="H173" s="9"/>
      <c r="I173" s="15"/>
      <c r="J173" s="12"/>
      <c r="K173" s="12"/>
      <c r="L173" s="5"/>
      <c r="M173" s="12"/>
    </row>
    <row r="174" spans="7:13" x14ac:dyDescent="0.25">
      <c r="G174" s="9"/>
      <c r="H174" s="9"/>
      <c r="I174" s="15"/>
      <c r="J174" s="12"/>
      <c r="K174" s="12"/>
      <c r="L174" s="5"/>
      <c r="M174" s="12"/>
    </row>
    <row r="175" spans="7:13" x14ac:dyDescent="0.25">
      <c r="G175" s="9"/>
      <c r="H175" s="9"/>
      <c r="I175" s="15"/>
      <c r="J175" s="12"/>
      <c r="K175" s="12"/>
      <c r="L175" s="5"/>
      <c r="M175" s="12"/>
    </row>
    <row r="176" spans="7:13" x14ac:dyDescent="0.25">
      <c r="G176" s="9"/>
      <c r="H176" s="9"/>
      <c r="I176" s="15"/>
      <c r="J176" s="12"/>
      <c r="K176" s="12"/>
      <c r="L176" s="5"/>
      <c r="M176" s="12"/>
    </row>
    <row r="177" spans="7:13" x14ac:dyDescent="0.25">
      <c r="G177" s="9"/>
      <c r="H177" s="9"/>
      <c r="I177" s="15"/>
      <c r="J177" s="12"/>
      <c r="K177" s="12"/>
      <c r="L177" s="5"/>
      <c r="M177" s="12"/>
    </row>
    <row r="178" spans="7:13" x14ac:dyDescent="0.25">
      <c r="G178" s="9"/>
      <c r="H178" s="9"/>
      <c r="I178" s="15"/>
      <c r="J178" s="12"/>
      <c r="K178" s="12"/>
      <c r="L178" s="5"/>
      <c r="M178" s="12"/>
    </row>
    <row r="179" spans="7:13" x14ac:dyDescent="0.25">
      <c r="G179" s="9"/>
      <c r="H179" s="9"/>
      <c r="I179" s="15"/>
      <c r="J179" s="12"/>
      <c r="K179" s="12"/>
      <c r="L179" s="5"/>
      <c r="M179" s="12"/>
    </row>
    <row r="180" spans="7:13" x14ac:dyDescent="0.25">
      <c r="G180" s="9"/>
      <c r="H180" s="9"/>
      <c r="I180" s="15"/>
      <c r="J180" s="12"/>
      <c r="K180" s="12"/>
      <c r="L180" s="5"/>
      <c r="M180" s="12"/>
    </row>
    <row r="181" spans="7:13" x14ac:dyDescent="0.25">
      <c r="G181" s="9"/>
      <c r="H181" s="9"/>
      <c r="I181" s="15"/>
      <c r="J181" s="12"/>
      <c r="K181" s="12"/>
      <c r="L181" s="5"/>
      <c r="M181" s="12"/>
    </row>
    <row r="182" spans="7:13" x14ac:dyDescent="0.25">
      <c r="G182" s="9"/>
      <c r="H182" s="9"/>
      <c r="I182" s="15"/>
      <c r="J182" s="12"/>
      <c r="K182" s="12"/>
      <c r="L182" s="5"/>
      <c r="M182" s="12"/>
    </row>
    <row r="183" spans="7:13" x14ac:dyDescent="0.25">
      <c r="G183" s="9"/>
      <c r="H183" s="9"/>
      <c r="I183" s="15"/>
      <c r="J183" s="12"/>
      <c r="K183" s="12"/>
      <c r="L183" s="5"/>
      <c r="M183" s="12"/>
    </row>
    <row r="184" spans="7:13" x14ac:dyDescent="0.25">
      <c r="G184" s="9"/>
      <c r="H184" s="9"/>
      <c r="I184" s="15"/>
      <c r="J184" s="12"/>
      <c r="K184" s="12"/>
      <c r="L184" s="5"/>
      <c r="M184" s="12"/>
    </row>
    <row r="185" spans="7:13" x14ac:dyDescent="0.25">
      <c r="G185" s="9"/>
      <c r="H185" s="9"/>
      <c r="I185" s="15"/>
      <c r="J185" s="12"/>
      <c r="K185" s="12"/>
      <c r="L185" s="5"/>
      <c r="M185" s="12"/>
    </row>
    <row r="186" spans="7:13" x14ac:dyDescent="0.25">
      <c r="G186" s="9"/>
      <c r="H186" s="9"/>
      <c r="I186" s="15"/>
      <c r="J186" s="12"/>
      <c r="K186" s="12"/>
      <c r="L186" s="5"/>
      <c r="M186" s="12"/>
    </row>
    <row r="187" spans="7:13" x14ac:dyDescent="0.25">
      <c r="G187" s="9"/>
      <c r="H187" s="9"/>
      <c r="I187" s="15"/>
      <c r="J187" s="12"/>
      <c r="K187" s="12"/>
      <c r="L187" s="5"/>
      <c r="M187" s="12"/>
    </row>
    <row r="188" spans="7:13" x14ac:dyDescent="0.25">
      <c r="G188" s="9"/>
      <c r="H188" s="9"/>
      <c r="I188" s="15"/>
      <c r="J188" s="12"/>
      <c r="K188" s="12"/>
      <c r="L188" s="5"/>
      <c r="M188" s="12"/>
    </row>
    <row r="189" spans="7:13" x14ac:dyDescent="0.25">
      <c r="G189" s="9"/>
      <c r="H189" s="9"/>
      <c r="I189" s="15"/>
      <c r="J189" s="12"/>
      <c r="K189" s="12"/>
      <c r="L189" s="5"/>
      <c r="M189" s="12"/>
    </row>
    <row r="190" spans="7:13" x14ac:dyDescent="0.25">
      <c r="G190" s="9"/>
      <c r="H190" s="9"/>
      <c r="I190" s="15"/>
      <c r="J190" s="12"/>
      <c r="K190" s="12"/>
      <c r="L190" s="5"/>
      <c r="M190" s="12"/>
    </row>
    <row r="191" spans="7:13" x14ac:dyDescent="0.25">
      <c r="G191" s="9"/>
      <c r="H191" s="9"/>
      <c r="I191" s="15"/>
      <c r="J191" s="12"/>
      <c r="K191" s="12"/>
      <c r="L191" s="5"/>
      <c r="M191" s="12"/>
    </row>
    <row r="192" spans="7:13" x14ac:dyDescent="0.25">
      <c r="G192" s="9"/>
      <c r="H192" s="9"/>
      <c r="I192" s="15"/>
      <c r="J192" s="12"/>
      <c r="K192" s="12"/>
      <c r="L192" s="5"/>
      <c r="M192" s="12"/>
    </row>
    <row r="193" spans="7:13" x14ac:dyDescent="0.25">
      <c r="G193" s="9"/>
      <c r="H193" s="9"/>
      <c r="I193" s="15"/>
      <c r="J193" s="12"/>
      <c r="K193" s="12"/>
      <c r="L193" s="5"/>
      <c r="M193" s="12"/>
    </row>
    <row r="194" spans="7:13" x14ac:dyDescent="0.25">
      <c r="G194" s="9"/>
      <c r="H194" s="9"/>
      <c r="I194" s="15"/>
      <c r="J194" s="12"/>
      <c r="K194" s="12"/>
      <c r="L194" s="5"/>
      <c r="M194" s="12"/>
    </row>
    <row r="195" spans="7:13" x14ac:dyDescent="0.25">
      <c r="G195" s="9"/>
      <c r="H195" s="9"/>
      <c r="I195" s="15"/>
      <c r="J195" s="12"/>
      <c r="K195" s="12"/>
      <c r="L195" s="5"/>
      <c r="M195" s="12"/>
    </row>
    <row r="196" spans="7:13" x14ac:dyDescent="0.25">
      <c r="G196" s="9"/>
      <c r="H196" s="9"/>
      <c r="I196" s="15"/>
      <c r="J196" s="12"/>
      <c r="K196" s="12"/>
      <c r="L196" s="5"/>
      <c r="M196" s="12"/>
    </row>
    <row r="197" spans="7:13" x14ac:dyDescent="0.25">
      <c r="G197" s="9"/>
      <c r="H197" s="9"/>
      <c r="I197" s="15"/>
      <c r="J197" s="12"/>
      <c r="K197" s="12"/>
      <c r="L197" s="5"/>
      <c r="M197" s="12"/>
    </row>
    <row r="198" spans="7:13" x14ac:dyDescent="0.25">
      <c r="G198" s="9"/>
      <c r="H198" s="9"/>
      <c r="I198" s="15"/>
      <c r="J198" s="12"/>
      <c r="K198" s="12"/>
      <c r="L198" s="5"/>
      <c r="M198" s="12"/>
    </row>
    <row r="199" spans="7:13" x14ac:dyDescent="0.25">
      <c r="G199" s="9"/>
      <c r="H199" s="9"/>
      <c r="I199" s="15"/>
      <c r="J199" s="12"/>
      <c r="K199" s="12"/>
      <c r="L199" s="5"/>
      <c r="M199" s="12"/>
    </row>
    <row r="200" spans="7:13" x14ac:dyDescent="0.25">
      <c r="G200" s="9"/>
      <c r="H200" s="9"/>
      <c r="I200" s="15"/>
      <c r="J200" s="12"/>
      <c r="K200" s="12"/>
      <c r="L200" s="5"/>
      <c r="M200" s="12"/>
    </row>
    <row r="201" spans="7:13" x14ac:dyDescent="0.25">
      <c r="G201" s="9"/>
      <c r="H201" s="9"/>
      <c r="I201" s="15"/>
      <c r="J201" s="12"/>
      <c r="K201" s="12"/>
      <c r="L201" s="5"/>
      <c r="M201" s="12"/>
    </row>
    <row r="202" spans="7:13" x14ac:dyDescent="0.25">
      <c r="G202" s="9"/>
      <c r="H202" s="9"/>
      <c r="I202" s="15"/>
      <c r="J202" s="12"/>
      <c r="K202" s="12"/>
      <c r="L202" s="5"/>
      <c r="M202" s="12"/>
    </row>
    <row r="203" spans="7:13" x14ac:dyDescent="0.25">
      <c r="G203" s="9"/>
      <c r="H203" s="9"/>
      <c r="I203" s="15"/>
      <c r="J203" s="12"/>
      <c r="K203" s="12"/>
      <c r="L203" s="5"/>
      <c r="M203" s="12"/>
    </row>
    <row r="204" spans="7:13" x14ac:dyDescent="0.25">
      <c r="G204" s="9"/>
      <c r="H204" s="9"/>
      <c r="I204" s="15"/>
      <c r="J204" s="12"/>
      <c r="K204" s="12"/>
      <c r="L204" s="5"/>
      <c r="M204" s="12"/>
    </row>
    <row r="205" spans="7:13" x14ac:dyDescent="0.25">
      <c r="G205" s="9"/>
      <c r="H205" s="9"/>
      <c r="I205" s="15"/>
      <c r="J205" s="12"/>
      <c r="K205" s="12"/>
      <c r="L205" s="5"/>
      <c r="M205" s="12"/>
    </row>
    <row r="206" spans="7:13" x14ac:dyDescent="0.25">
      <c r="G206" s="9"/>
      <c r="H206" s="9"/>
      <c r="I206" s="15"/>
      <c r="J206" s="12"/>
      <c r="K206" s="12"/>
      <c r="L206" s="5"/>
      <c r="M206" s="12"/>
    </row>
    <row r="207" spans="7:13" x14ac:dyDescent="0.25">
      <c r="G207" s="9"/>
      <c r="H207" s="9"/>
      <c r="I207" s="15"/>
      <c r="J207" s="12"/>
      <c r="K207" s="12"/>
      <c r="L207" s="5"/>
      <c r="M207" s="12"/>
    </row>
    <row r="208" spans="7:13" x14ac:dyDescent="0.25">
      <c r="G208" s="9"/>
      <c r="H208" s="9"/>
      <c r="I208" s="15"/>
      <c r="J208" s="12"/>
      <c r="K208" s="12"/>
      <c r="L208" s="5"/>
      <c r="M208" s="12"/>
    </row>
    <row r="209" spans="7:13" x14ac:dyDescent="0.25">
      <c r="G209" s="9"/>
      <c r="H209" s="9"/>
      <c r="I209" s="15"/>
      <c r="J209" s="12"/>
      <c r="K209" s="12"/>
      <c r="L209" s="5"/>
      <c r="M209" s="12"/>
    </row>
    <row r="210" spans="7:13" x14ac:dyDescent="0.25">
      <c r="G210" s="9"/>
      <c r="H210" s="9"/>
      <c r="I210" s="15"/>
      <c r="J210" s="12"/>
      <c r="K210" s="12"/>
      <c r="L210" s="5"/>
      <c r="M210" s="12"/>
    </row>
    <row r="211" spans="7:13" x14ac:dyDescent="0.25">
      <c r="G211" s="9"/>
      <c r="H211" s="9"/>
      <c r="I211" s="15"/>
      <c r="J211" s="12"/>
      <c r="K211" s="12"/>
      <c r="L211" s="5"/>
      <c r="M211" s="12"/>
    </row>
    <row r="212" spans="7:13" x14ac:dyDescent="0.25">
      <c r="G212" s="9"/>
      <c r="H212" s="9"/>
      <c r="I212" s="15"/>
      <c r="J212" s="12"/>
      <c r="K212" s="12"/>
      <c r="L212" s="5"/>
      <c r="M212" s="12"/>
    </row>
    <row r="213" spans="7:13" x14ac:dyDescent="0.25">
      <c r="G213" s="9"/>
      <c r="H213" s="9"/>
      <c r="I213" s="15"/>
      <c r="J213" s="12"/>
      <c r="K213" s="12"/>
      <c r="L213" s="5"/>
      <c r="M213" s="12"/>
    </row>
    <row r="214" spans="7:13" x14ac:dyDescent="0.25">
      <c r="G214" s="9"/>
      <c r="H214" s="9"/>
      <c r="I214" s="15"/>
      <c r="J214" s="12"/>
      <c r="K214" s="12"/>
      <c r="L214" s="5"/>
      <c r="M214" s="12"/>
    </row>
    <row r="215" spans="7:13" x14ac:dyDescent="0.25">
      <c r="G215" s="9"/>
      <c r="H215" s="9"/>
      <c r="I215" s="15"/>
      <c r="J215" s="12"/>
      <c r="K215" s="12"/>
      <c r="L215" s="5"/>
      <c r="M215" s="12"/>
    </row>
    <row r="216" spans="7:13" x14ac:dyDescent="0.25">
      <c r="G216" s="9"/>
      <c r="H216" s="9"/>
      <c r="I216" s="15"/>
      <c r="J216" s="12"/>
      <c r="K216" s="12"/>
      <c r="L216" s="5"/>
      <c r="M216" s="12"/>
    </row>
    <row r="217" spans="7:13" x14ac:dyDescent="0.25">
      <c r="G217" s="9"/>
      <c r="H217" s="9"/>
      <c r="I217" s="15"/>
      <c r="J217" s="12"/>
      <c r="K217" s="12"/>
      <c r="L217" s="5"/>
      <c r="M217" s="12"/>
    </row>
    <row r="218" spans="7:13" x14ac:dyDescent="0.25">
      <c r="G218" s="9"/>
      <c r="H218" s="9"/>
      <c r="I218" s="15"/>
      <c r="J218" s="12"/>
      <c r="K218" s="12"/>
      <c r="L218" s="5"/>
      <c r="M218" s="12"/>
    </row>
    <row r="219" spans="7:13" x14ac:dyDescent="0.25">
      <c r="G219" s="9"/>
      <c r="H219" s="9"/>
      <c r="I219" s="15"/>
      <c r="J219" s="12"/>
      <c r="K219" s="12"/>
      <c r="L219" s="5"/>
      <c r="M219" s="12"/>
    </row>
    <row r="220" spans="7:13" x14ac:dyDescent="0.25">
      <c r="G220" s="9"/>
      <c r="H220" s="9"/>
      <c r="I220" s="15"/>
      <c r="J220" s="12"/>
      <c r="K220" s="12"/>
      <c r="L220" s="5"/>
      <c r="M220" s="12"/>
    </row>
    <row r="221" spans="7:13" x14ac:dyDescent="0.25">
      <c r="G221" s="9"/>
      <c r="H221" s="9"/>
      <c r="I221" s="15"/>
      <c r="J221" s="12"/>
      <c r="K221" s="12"/>
      <c r="L221" s="5"/>
      <c r="M221" s="12"/>
    </row>
    <row r="222" spans="7:13" x14ac:dyDescent="0.25">
      <c r="G222" s="9"/>
      <c r="H222" s="9"/>
      <c r="I222" s="15"/>
      <c r="J222" s="12"/>
      <c r="K222" s="12"/>
      <c r="L222" s="5"/>
      <c r="M222" s="12"/>
    </row>
    <row r="223" spans="7:13" x14ac:dyDescent="0.25">
      <c r="G223" s="9"/>
      <c r="H223" s="9"/>
      <c r="I223" s="15"/>
      <c r="J223" s="12"/>
      <c r="K223" s="12"/>
      <c r="L223" s="5"/>
      <c r="M223" s="12"/>
    </row>
    <row r="224" spans="7:13" x14ac:dyDescent="0.25">
      <c r="G224" s="9"/>
      <c r="H224" s="9"/>
      <c r="I224" s="15"/>
      <c r="J224" s="12"/>
      <c r="K224" s="12"/>
      <c r="L224" s="5"/>
      <c r="M224" s="12"/>
    </row>
    <row r="225" spans="7:13" x14ac:dyDescent="0.25">
      <c r="G225" s="9"/>
      <c r="H225" s="9"/>
      <c r="I225" s="15"/>
      <c r="J225" s="12"/>
      <c r="K225" s="12"/>
      <c r="L225" s="5"/>
      <c r="M225" s="12"/>
    </row>
    <row r="226" spans="7:13" x14ac:dyDescent="0.25">
      <c r="G226" s="9"/>
      <c r="H226" s="9"/>
      <c r="I226" s="15"/>
      <c r="J226" s="12"/>
      <c r="K226" s="12"/>
      <c r="L226" s="5"/>
      <c r="M226" s="12"/>
    </row>
    <row r="227" spans="7:13" x14ac:dyDescent="0.25">
      <c r="G227" s="9"/>
      <c r="H227" s="9"/>
      <c r="I227" s="15"/>
      <c r="J227" s="12"/>
      <c r="K227" s="12"/>
      <c r="L227" s="5"/>
      <c r="M227" s="12"/>
    </row>
    <row r="228" spans="7:13" x14ac:dyDescent="0.25">
      <c r="G228" s="9"/>
      <c r="H228" s="9"/>
      <c r="I228" s="15"/>
      <c r="J228" s="12"/>
      <c r="K228" s="12"/>
      <c r="L228" s="5"/>
      <c r="M228" s="12"/>
    </row>
    <row r="229" spans="7:13" x14ac:dyDescent="0.25">
      <c r="G229" s="9"/>
      <c r="H229" s="9"/>
      <c r="I229" s="15"/>
      <c r="J229" s="12"/>
      <c r="K229" s="12"/>
      <c r="L229" s="5"/>
      <c r="M229" s="12"/>
    </row>
    <row r="230" spans="7:13" x14ac:dyDescent="0.25">
      <c r="G230" s="9"/>
      <c r="H230" s="9"/>
      <c r="I230" s="15"/>
      <c r="J230" s="12"/>
      <c r="K230" s="12"/>
      <c r="L230" s="5"/>
      <c r="M230" s="12"/>
    </row>
    <row r="231" spans="7:13" x14ac:dyDescent="0.25">
      <c r="G231" s="9"/>
      <c r="H231" s="9"/>
      <c r="I231" s="15"/>
      <c r="J231" s="12"/>
      <c r="K231" s="12"/>
      <c r="L231" s="5"/>
      <c r="M231" s="12"/>
    </row>
    <row r="232" spans="7:13" x14ac:dyDescent="0.25">
      <c r="G232" s="9"/>
      <c r="H232" s="9"/>
      <c r="I232" s="15"/>
      <c r="J232" s="12"/>
      <c r="K232" s="12"/>
      <c r="L232" s="5"/>
      <c r="M232" s="12"/>
    </row>
    <row r="233" spans="7:13" x14ac:dyDescent="0.25">
      <c r="G233" s="9"/>
      <c r="H233" s="9"/>
      <c r="I233" s="15"/>
      <c r="J233" s="12"/>
      <c r="K233" s="12"/>
      <c r="L233" s="5"/>
      <c r="M233" s="12"/>
    </row>
    <row r="234" spans="7:13" x14ac:dyDescent="0.25">
      <c r="G234" s="9"/>
      <c r="H234" s="9"/>
      <c r="I234" s="15"/>
      <c r="J234" s="12"/>
      <c r="K234" s="12"/>
      <c r="L234" s="5"/>
      <c r="M234" s="12"/>
    </row>
    <row r="235" spans="7:13" x14ac:dyDescent="0.25">
      <c r="G235" s="9"/>
      <c r="H235" s="9"/>
      <c r="I235" s="15"/>
      <c r="J235" s="12"/>
      <c r="K235" s="12"/>
      <c r="L235" s="5"/>
      <c r="M235" s="12"/>
    </row>
    <row r="236" spans="7:13" x14ac:dyDescent="0.25">
      <c r="G236" s="9"/>
      <c r="H236" s="9"/>
      <c r="I236" s="15"/>
      <c r="J236" s="12"/>
      <c r="K236" s="12"/>
      <c r="L236" s="5"/>
      <c r="M236" s="12"/>
    </row>
    <row r="237" spans="7:13" x14ac:dyDescent="0.25">
      <c r="G237" s="9"/>
      <c r="H237" s="9"/>
      <c r="I237" s="15"/>
      <c r="J237" s="12"/>
      <c r="K237" s="12"/>
      <c r="L237" s="5"/>
      <c r="M237" s="12"/>
    </row>
    <row r="238" spans="7:13" x14ac:dyDescent="0.25">
      <c r="G238" s="9"/>
      <c r="H238" s="9"/>
      <c r="I238" s="15"/>
      <c r="J238" s="12"/>
      <c r="K238" s="12"/>
      <c r="L238" s="5"/>
      <c r="M238" s="12"/>
    </row>
    <row r="239" spans="7:13" x14ac:dyDescent="0.25">
      <c r="G239" s="9"/>
      <c r="H239" s="9"/>
      <c r="I239" s="15"/>
      <c r="J239" s="12"/>
      <c r="K239" s="12"/>
      <c r="L239" s="5"/>
      <c r="M239" s="12"/>
    </row>
    <row r="240" spans="7:13" x14ac:dyDescent="0.25">
      <c r="G240" s="9"/>
      <c r="H240" s="9"/>
      <c r="I240" s="15"/>
      <c r="J240" s="12"/>
      <c r="K240" s="12"/>
      <c r="L240" s="5"/>
      <c r="M240" s="12"/>
    </row>
    <row r="241" spans="7:13" x14ac:dyDescent="0.25">
      <c r="G241" s="9"/>
      <c r="H241" s="9"/>
      <c r="I241" s="15"/>
      <c r="J241" s="12"/>
      <c r="K241" s="12"/>
      <c r="L241" s="5"/>
      <c r="M241" s="12"/>
    </row>
    <row r="242" spans="7:13" x14ac:dyDescent="0.25">
      <c r="G242" s="9"/>
      <c r="H242" s="9"/>
      <c r="I242" s="15"/>
      <c r="J242" s="12"/>
      <c r="K242" s="12"/>
      <c r="L242" s="5"/>
      <c r="M242" s="12"/>
    </row>
    <row r="243" spans="7:13" x14ac:dyDescent="0.25">
      <c r="G243" s="9"/>
      <c r="H243" s="9"/>
      <c r="I243" s="15"/>
      <c r="J243" s="12"/>
      <c r="K243" s="12"/>
      <c r="L243" s="5"/>
      <c r="M243" s="12"/>
    </row>
    <row r="244" spans="7:13" x14ac:dyDescent="0.25">
      <c r="G244" s="9"/>
      <c r="H244" s="9"/>
      <c r="I244" s="15"/>
      <c r="J244" s="12"/>
      <c r="K244" s="12"/>
      <c r="L244" s="5"/>
      <c r="M244" s="12"/>
    </row>
    <row r="245" spans="7:13" x14ac:dyDescent="0.25">
      <c r="G245" s="9"/>
      <c r="H245" s="9"/>
      <c r="I245" s="15"/>
      <c r="J245" s="12"/>
      <c r="K245" s="12"/>
      <c r="L245" s="5"/>
      <c r="M245" s="12"/>
    </row>
    <row r="246" spans="7:13" x14ac:dyDescent="0.25">
      <c r="G246" s="9"/>
      <c r="H246" s="9"/>
      <c r="I246" s="15"/>
      <c r="J246" s="12"/>
      <c r="K246" s="12"/>
      <c r="L246" s="5"/>
      <c r="M246" s="12"/>
    </row>
    <row r="247" spans="7:13" x14ac:dyDescent="0.25">
      <c r="G247" s="9"/>
      <c r="H247" s="9"/>
      <c r="I247" s="15"/>
      <c r="J247" s="12"/>
      <c r="K247" s="12"/>
      <c r="L247" s="5"/>
      <c r="M247" s="12"/>
    </row>
    <row r="248" spans="7:13" x14ac:dyDescent="0.25">
      <c r="G248" s="9"/>
      <c r="H248" s="9"/>
      <c r="I248" s="15"/>
      <c r="J248" s="12"/>
      <c r="K248" s="12"/>
      <c r="L248" s="5"/>
      <c r="M248" s="12"/>
    </row>
    <row r="249" spans="7:13" x14ac:dyDescent="0.25">
      <c r="G249" s="9"/>
      <c r="H249" s="9"/>
      <c r="I249" s="15"/>
      <c r="J249" s="12"/>
      <c r="K249" s="12"/>
      <c r="L249" s="5"/>
      <c r="M249" s="12"/>
    </row>
    <row r="250" spans="7:13" x14ac:dyDescent="0.25">
      <c r="G250" s="9"/>
      <c r="H250" s="9"/>
      <c r="I250" s="15"/>
      <c r="J250" s="12"/>
      <c r="K250" s="12"/>
      <c r="L250" s="5"/>
      <c r="M250" s="12"/>
    </row>
    <row r="251" spans="7:13" x14ac:dyDescent="0.25">
      <c r="G251" s="9"/>
      <c r="H251" s="9"/>
      <c r="I251" s="15"/>
      <c r="J251" s="12"/>
      <c r="K251" s="12"/>
      <c r="L251" s="5"/>
      <c r="M251" s="12"/>
    </row>
    <row r="252" spans="7:13" x14ac:dyDescent="0.25">
      <c r="G252" s="9"/>
      <c r="H252" s="9"/>
      <c r="I252" s="15"/>
      <c r="J252" s="12"/>
      <c r="K252" s="12"/>
      <c r="L252" s="5"/>
      <c r="M252" s="12"/>
    </row>
    <row r="253" spans="7:13" x14ac:dyDescent="0.25">
      <c r="G253" s="9"/>
      <c r="H253" s="9"/>
      <c r="I253" s="15"/>
      <c r="J253" s="12"/>
      <c r="K253" s="12"/>
      <c r="L253" s="5"/>
      <c r="M253" s="12"/>
    </row>
    <row r="254" spans="7:13" x14ac:dyDescent="0.25">
      <c r="G254" s="9"/>
      <c r="H254" s="9"/>
      <c r="I254" s="15"/>
      <c r="J254" s="12"/>
      <c r="K254" s="12"/>
      <c r="L254" s="5"/>
      <c r="M254" s="12"/>
    </row>
    <row r="255" spans="7:13" x14ac:dyDescent="0.25">
      <c r="G255" s="9"/>
      <c r="H255" s="9"/>
      <c r="I255" s="15"/>
      <c r="J255" s="12"/>
      <c r="K255" s="12"/>
      <c r="L255" s="5"/>
      <c r="M255" s="12"/>
    </row>
    <row r="256" spans="7:13" x14ac:dyDescent="0.25">
      <c r="G256" s="9"/>
      <c r="H256" s="9"/>
      <c r="I256" s="15"/>
      <c r="J256" s="12"/>
      <c r="K256" s="12"/>
      <c r="L256" s="5"/>
      <c r="M256" s="12"/>
    </row>
    <row r="257" spans="7:13" x14ac:dyDescent="0.25">
      <c r="G257" s="9"/>
      <c r="H257" s="9"/>
      <c r="I257" s="15"/>
      <c r="J257" s="12"/>
      <c r="K257" s="12"/>
      <c r="L257" s="5"/>
      <c r="M257" s="12"/>
    </row>
    <row r="258" spans="7:13" x14ac:dyDescent="0.25">
      <c r="G258" s="9"/>
      <c r="H258" s="9"/>
      <c r="I258" s="15"/>
      <c r="J258" s="12"/>
      <c r="K258" s="12"/>
      <c r="L258" s="5"/>
      <c r="M258" s="12"/>
    </row>
    <row r="259" spans="7:13" x14ac:dyDescent="0.25">
      <c r="G259" s="9"/>
      <c r="H259" s="9"/>
      <c r="I259" s="15"/>
      <c r="J259" s="12"/>
      <c r="K259" s="12"/>
      <c r="L259" s="5"/>
      <c r="M259" s="12"/>
    </row>
    <row r="260" spans="7:13" x14ac:dyDescent="0.25">
      <c r="G260" s="9"/>
      <c r="H260" s="9"/>
      <c r="I260" s="15"/>
      <c r="J260" s="12"/>
      <c r="K260" s="12"/>
      <c r="L260" s="5"/>
      <c r="M260" s="12"/>
    </row>
    <row r="261" spans="7:13" x14ac:dyDescent="0.25">
      <c r="G261" s="9"/>
      <c r="H261" s="9"/>
      <c r="I261" s="15"/>
      <c r="J261" s="12"/>
      <c r="K261" s="12"/>
      <c r="L261" s="5"/>
      <c r="M261" s="12"/>
    </row>
    <row r="262" spans="7:13" x14ac:dyDescent="0.25">
      <c r="G262" s="9"/>
      <c r="H262" s="9"/>
      <c r="I262" s="15"/>
      <c r="J262" s="12"/>
      <c r="K262" s="12"/>
      <c r="L262" s="5"/>
      <c r="M262" s="12"/>
    </row>
    <row r="263" spans="7:13" x14ac:dyDescent="0.25">
      <c r="G263" s="9"/>
      <c r="H263" s="9"/>
      <c r="I263" s="15"/>
      <c r="J263" s="12"/>
      <c r="K263" s="12"/>
      <c r="L263" s="5"/>
      <c r="M263" s="12"/>
    </row>
    <row r="264" spans="7:13" x14ac:dyDescent="0.25">
      <c r="G264" s="9"/>
      <c r="H264" s="9"/>
      <c r="I264" s="15"/>
      <c r="J264" s="12"/>
      <c r="K264" s="12"/>
      <c r="L264" s="5"/>
      <c r="M264" s="12"/>
    </row>
    <row r="265" spans="7:13" x14ac:dyDescent="0.25">
      <c r="G265" s="9"/>
      <c r="H265" s="9"/>
      <c r="I265" s="15"/>
      <c r="J265" s="12"/>
      <c r="K265" s="12"/>
      <c r="L265" s="5"/>
      <c r="M265" s="12"/>
    </row>
    <row r="266" spans="7:13" x14ac:dyDescent="0.25">
      <c r="G266" s="9"/>
      <c r="H266" s="9"/>
      <c r="I266" s="15"/>
      <c r="J266" s="12"/>
      <c r="K266" s="12"/>
      <c r="L266" s="5"/>
      <c r="M266" s="12"/>
    </row>
    <row r="267" spans="7:13" x14ac:dyDescent="0.25">
      <c r="G267" s="9"/>
      <c r="H267" s="9"/>
      <c r="I267" s="15"/>
      <c r="J267" s="12"/>
      <c r="K267" s="12"/>
      <c r="L267" s="5"/>
      <c r="M267" s="12"/>
    </row>
    <row r="268" spans="7:13" x14ac:dyDescent="0.25">
      <c r="G268" s="9"/>
      <c r="H268" s="9"/>
      <c r="I268" s="15"/>
      <c r="J268" s="12"/>
      <c r="K268" s="12"/>
      <c r="L268" s="5"/>
      <c r="M268" s="12"/>
    </row>
    <row r="269" spans="7:13" x14ac:dyDescent="0.25">
      <c r="G269" s="9"/>
      <c r="H269" s="9"/>
      <c r="I269" s="15"/>
      <c r="J269" s="12"/>
      <c r="K269" s="12"/>
      <c r="L269" s="5"/>
      <c r="M269" s="12"/>
    </row>
    <row r="270" spans="7:13" x14ac:dyDescent="0.25">
      <c r="G270" s="9"/>
      <c r="H270" s="9"/>
      <c r="I270" s="15"/>
      <c r="J270" s="12"/>
      <c r="K270" s="12"/>
      <c r="L270" s="5"/>
      <c r="M270" s="12"/>
    </row>
    <row r="271" spans="7:13" x14ac:dyDescent="0.25">
      <c r="G271" s="9"/>
      <c r="H271" s="9"/>
      <c r="I271" s="15"/>
      <c r="J271" s="12"/>
      <c r="K271" s="12"/>
      <c r="L271" s="5"/>
      <c r="M271" s="12"/>
    </row>
    <row r="272" spans="7:13" x14ac:dyDescent="0.25">
      <c r="G272" s="9"/>
      <c r="H272" s="9"/>
      <c r="I272" s="15"/>
      <c r="J272" s="12"/>
      <c r="K272" s="12"/>
      <c r="L272" s="5"/>
      <c r="M272" s="12"/>
    </row>
    <row r="273" spans="7:13" x14ac:dyDescent="0.25">
      <c r="G273" s="9"/>
      <c r="H273" s="9"/>
      <c r="I273" s="15"/>
      <c r="J273" s="12"/>
      <c r="K273" s="12"/>
      <c r="L273" s="5"/>
      <c r="M273" s="12"/>
    </row>
    <row r="274" spans="7:13" x14ac:dyDescent="0.25">
      <c r="G274" s="9"/>
      <c r="H274" s="9"/>
      <c r="I274" s="15"/>
      <c r="J274" s="12"/>
      <c r="K274" s="12"/>
      <c r="L274" s="5"/>
      <c r="M274" s="12"/>
    </row>
    <row r="275" spans="7:13" x14ac:dyDescent="0.25">
      <c r="G275" s="9"/>
      <c r="H275" s="9"/>
      <c r="I275" s="15"/>
      <c r="J275" s="12"/>
      <c r="K275" s="12"/>
      <c r="L275" s="5"/>
      <c r="M275" s="12"/>
    </row>
    <row r="276" spans="7:13" x14ac:dyDescent="0.25">
      <c r="G276" s="9"/>
      <c r="H276" s="9"/>
      <c r="I276" s="15"/>
      <c r="J276" s="12"/>
      <c r="K276" s="12"/>
      <c r="L276" s="5"/>
      <c r="M276" s="12"/>
    </row>
    <row r="277" spans="7:13" x14ac:dyDescent="0.25">
      <c r="G277" s="9"/>
      <c r="H277" s="9"/>
      <c r="I277" s="15"/>
      <c r="J277" s="12"/>
      <c r="K277" s="12"/>
      <c r="L277" s="5"/>
      <c r="M277" s="12"/>
    </row>
    <row r="278" spans="7:13" x14ac:dyDescent="0.25">
      <c r="G278" s="9"/>
      <c r="H278" s="9"/>
      <c r="I278" s="15"/>
      <c r="J278" s="12"/>
      <c r="K278" s="12"/>
      <c r="L278" s="5"/>
      <c r="M278" s="12"/>
    </row>
    <row r="279" spans="7:13" x14ac:dyDescent="0.25">
      <c r="G279" s="9"/>
      <c r="H279" s="9"/>
      <c r="I279" s="15"/>
      <c r="J279" s="12"/>
      <c r="K279" s="12"/>
      <c r="L279" s="5"/>
      <c r="M279" s="12"/>
    </row>
    <row r="280" spans="7:13" x14ac:dyDescent="0.25">
      <c r="G280" s="9"/>
      <c r="H280" s="9"/>
      <c r="I280" s="15"/>
      <c r="J280" s="12"/>
      <c r="K280" s="12"/>
      <c r="L280" s="5"/>
      <c r="M280" s="12"/>
    </row>
    <row r="281" spans="7:13" x14ac:dyDescent="0.25">
      <c r="G281" s="9"/>
      <c r="H281" s="9"/>
      <c r="I281" s="15"/>
      <c r="J281" s="12"/>
      <c r="K281" s="12"/>
      <c r="L281" s="5"/>
      <c r="M281" s="12"/>
    </row>
    <row r="282" spans="7:13" x14ac:dyDescent="0.25">
      <c r="G282" s="9"/>
      <c r="H282" s="9"/>
      <c r="I282" s="15"/>
      <c r="J282" s="12"/>
      <c r="K282" s="12"/>
      <c r="L282" s="5"/>
      <c r="M282" s="12"/>
    </row>
    <row r="283" spans="7:13" x14ac:dyDescent="0.25">
      <c r="G283" s="9"/>
      <c r="H283" s="9"/>
      <c r="I283" s="15"/>
      <c r="J283" s="12"/>
      <c r="K283" s="12"/>
      <c r="L283" s="5"/>
      <c r="M283" s="12"/>
    </row>
    <row r="284" spans="7:13" x14ac:dyDescent="0.25">
      <c r="G284" s="9"/>
      <c r="H284" s="9"/>
      <c r="I284" s="15"/>
      <c r="J284" s="12"/>
      <c r="K284" s="12"/>
      <c r="L284" s="5"/>
      <c r="M284" s="12"/>
    </row>
    <row r="285" spans="7:13" x14ac:dyDescent="0.25">
      <c r="G285" s="9"/>
      <c r="H285" s="9"/>
      <c r="I285" s="15"/>
      <c r="J285" s="12"/>
      <c r="K285" s="12"/>
      <c r="L285" s="5"/>
      <c r="M285" s="12"/>
    </row>
    <row r="286" spans="7:13" x14ac:dyDescent="0.25">
      <c r="G286" s="9"/>
      <c r="H286" s="9"/>
      <c r="I286" s="15"/>
      <c r="J286" s="12"/>
      <c r="K286" s="12"/>
      <c r="L286" s="5"/>
      <c r="M286" s="12"/>
    </row>
    <row r="287" spans="7:13" x14ac:dyDescent="0.25">
      <c r="G287" s="9"/>
      <c r="H287" s="9"/>
      <c r="I287" s="15"/>
      <c r="J287" s="12"/>
      <c r="K287" s="12"/>
      <c r="L287" s="5"/>
      <c r="M287" s="12"/>
    </row>
    <row r="288" spans="7:13" x14ac:dyDescent="0.25">
      <c r="G288" s="9"/>
      <c r="H288" s="9"/>
      <c r="I288" s="15"/>
      <c r="J288" s="12"/>
      <c r="K288" s="12"/>
      <c r="L288" s="5"/>
      <c r="M288" s="12"/>
    </row>
    <row r="289" spans="7:13" x14ac:dyDescent="0.25">
      <c r="G289" s="9"/>
      <c r="H289" s="9"/>
      <c r="I289" s="15"/>
      <c r="J289" s="12"/>
      <c r="K289" s="12"/>
      <c r="L289" s="5"/>
      <c r="M289" s="12"/>
    </row>
    <row r="290" spans="7:13" x14ac:dyDescent="0.25">
      <c r="G290" s="9"/>
      <c r="H290" s="9"/>
      <c r="I290" s="15"/>
      <c r="J290" s="12"/>
      <c r="K290" s="12"/>
      <c r="L290" s="5"/>
      <c r="M290" s="12"/>
    </row>
    <row r="291" spans="7:13" x14ac:dyDescent="0.25">
      <c r="G291" s="9"/>
      <c r="H291" s="9"/>
      <c r="I291" s="15"/>
      <c r="J291" s="12"/>
      <c r="K291" s="12"/>
      <c r="L291" s="5"/>
      <c r="M291" s="12"/>
    </row>
    <row r="292" spans="7:13" x14ac:dyDescent="0.25">
      <c r="G292" s="9"/>
      <c r="H292" s="9"/>
      <c r="I292" s="15"/>
      <c r="J292" s="12"/>
      <c r="K292" s="12"/>
      <c r="L292" s="5"/>
      <c r="M292" s="12"/>
    </row>
    <row r="293" spans="7:13" x14ac:dyDescent="0.25">
      <c r="G293" s="9"/>
      <c r="H293" s="9"/>
      <c r="I293" s="15"/>
      <c r="J293" s="12"/>
      <c r="K293" s="12"/>
      <c r="L293" s="5"/>
      <c r="M293" s="12"/>
    </row>
    <row r="294" spans="7:13" x14ac:dyDescent="0.25">
      <c r="G294" s="9"/>
      <c r="H294" s="9"/>
      <c r="I294" s="15"/>
      <c r="J294" s="12"/>
      <c r="K294" s="12"/>
      <c r="L294" s="5"/>
      <c r="M294" s="12"/>
    </row>
    <row r="295" spans="7:13" x14ac:dyDescent="0.25">
      <c r="G295" s="9"/>
      <c r="H295" s="9"/>
      <c r="I295" s="15"/>
      <c r="J295" s="12"/>
      <c r="K295" s="12"/>
      <c r="L295" s="5"/>
      <c r="M295" s="12"/>
    </row>
    <row r="296" spans="7:13" x14ac:dyDescent="0.25">
      <c r="G296" s="9"/>
      <c r="H296" s="9"/>
      <c r="I296" s="15"/>
      <c r="J296" s="12"/>
      <c r="K296" s="12"/>
      <c r="L296" s="5"/>
      <c r="M296" s="12"/>
    </row>
    <row r="297" spans="7:13" x14ac:dyDescent="0.25">
      <c r="G297" s="9"/>
      <c r="H297" s="9"/>
      <c r="I297" s="15"/>
      <c r="J297" s="12"/>
      <c r="K297" s="12"/>
      <c r="L297" s="5"/>
      <c r="M297" s="12"/>
    </row>
    <row r="298" spans="7:13" x14ac:dyDescent="0.25">
      <c r="G298" s="9"/>
      <c r="H298" s="9"/>
      <c r="I298" s="15"/>
      <c r="J298" s="12"/>
      <c r="K298" s="12"/>
      <c r="L298" s="5"/>
      <c r="M298" s="12"/>
    </row>
    <row r="299" spans="7:13" x14ac:dyDescent="0.25">
      <c r="G299" s="9"/>
      <c r="H299" s="9"/>
      <c r="I299" s="15"/>
      <c r="J299" s="12"/>
      <c r="K299" s="12"/>
      <c r="L299" s="5"/>
      <c r="M299" s="12"/>
    </row>
    <row r="300" spans="7:13" x14ac:dyDescent="0.25">
      <c r="G300" s="9"/>
      <c r="H300" s="9"/>
      <c r="I300" s="15"/>
      <c r="J300" s="12"/>
      <c r="K300" s="12"/>
      <c r="L300" s="5"/>
      <c r="M300" s="12"/>
    </row>
    <row r="301" spans="7:13" x14ac:dyDescent="0.25">
      <c r="G301" s="9"/>
      <c r="H301" s="9"/>
      <c r="I301" s="15"/>
      <c r="J301" s="12"/>
      <c r="K301" s="12"/>
      <c r="L301" s="5"/>
      <c r="M301" s="12"/>
    </row>
    <row r="302" spans="7:13" x14ac:dyDescent="0.25">
      <c r="G302" s="9"/>
      <c r="H302" s="9"/>
      <c r="I302" s="15"/>
      <c r="J302" s="12"/>
      <c r="K302" s="12"/>
      <c r="L302" s="5"/>
      <c r="M302" s="12"/>
    </row>
    <row r="303" spans="7:13" x14ac:dyDescent="0.25">
      <c r="G303" s="9"/>
      <c r="H303" s="9"/>
      <c r="I303" s="15"/>
      <c r="J303" s="12"/>
      <c r="K303" s="12"/>
      <c r="L303" s="5"/>
      <c r="M303" s="12"/>
    </row>
    <row r="304" spans="7:13" x14ac:dyDescent="0.25">
      <c r="G304" s="9"/>
      <c r="H304" s="9"/>
      <c r="I304" s="15"/>
      <c r="J304" s="12"/>
      <c r="K304" s="12"/>
      <c r="L304" s="5"/>
      <c r="M304" s="12"/>
    </row>
    <row r="305" spans="7:13" x14ac:dyDescent="0.25">
      <c r="G305" s="9"/>
      <c r="H305" s="9"/>
      <c r="I305" s="15"/>
      <c r="J305" s="12"/>
      <c r="K305" s="12"/>
      <c r="L305" s="5"/>
      <c r="M305" s="12"/>
    </row>
    <row r="306" spans="7:13" x14ac:dyDescent="0.25">
      <c r="G306" s="9"/>
      <c r="H306" s="9"/>
      <c r="I306" s="15"/>
      <c r="J306" s="12"/>
      <c r="K306" s="12"/>
      <c r="L306" s="5"/>
      <c r="M306" s="12"/>
    </row>
    <row r="307" spans="7:13" x14ac:dyDescent="0.25">
      <c r="G307" s="9"/>
      <c r="H307" s="9"/>
      <c r="I307" s="15"/>
      <c r="J307" s="12"/>
      <c r="K307" s="12"/>
      <c r="L307" s="5"/>
      <c r="M307" s="12"/>
    </row>
    <row r="308" spans="7:13" x14ac:dyDescent="0.25">
      <c r="G308" s="9"/>
      <c r="H308" s="9"/>
      <c r="I308" s="15"/>
      <c r="J308" s="12"/>
      <c r="K308" s="12"/>
      <c r="L308" s="5"/>
      <c r="M308" s="12"/>
    </row>
    <row r="309" spans="7:13" x14ac:dyDescent="0.25">
      <c r="G309" s="9"/>
      <c r="H309" s="9"/>
      <c r="I309" s="15"/>
      <c r="J309" s="12"/>
      <c r="K309" s="12"/>
      <c r="L309" s="5"/>
      <c r="M309" s="12"/>
    </row>
    <row r="310" spans="7:13" x14ac:dyDescent="0.25">
      <c r="G310" s="9"/>
      <c r="H310" s="9"/>
      <c r="I310" s="15"/>
      <c r="J310" s="12"/>
      <c r="K310" s="12"/>
      <c r="L310" s="5"/>
      <c r="M310" s="12"/>
    </row>
    <row r="311" spans="7:13" x14ac:dyDescent="0.25">
      <c r="G311" s="9"/>
      <c r="H311" s="9"/>
      <c r="I311" s="15"/>
      <c r="J311" s="12"/>
      <c r="K311" s="12"/>
      <c r="L311" s="5"/>
      <c r="M311" s="12"/>
    </row>
    <row r="312" spans="7:13" x14ac:dyDescent="0.25">
      <c r="G312" s="9"/>
      <c r="H312" s="9"/>
      <c r="I312" s="15"/>
      <c r="J312" s="12"/>
      <c r="K312" s="12"/>
      <c r="L312" s="5"/>
      <c r="M312" s="12"/>
    </row>
    <row r="313" spans="7:13" x14ac:dyDescent="0.25">
      <c r="G313" s="9"/>
      <c r="H313" s="9"/>
      <c r="I313" s="15"/>
      <c r="J313" s="12"/>
      <c r="K313" s="12"/>
      <c r="L313" s="5"/>
      <c r="M313" s="12"/>
    </row>
    <row r="314" spans="7:13" x14ac:dyDescent="0.25">
      <c r="G314" s="9"/>
      <c r="H314" s="9"/>
      <c r="I314" s="15"/>
      <c r="J314" s="12"/>
      <c r="K314" s="12"/>
      <c r="L314" s="5"/>
      <c r="M314" s="12"/>
    </row>
    <row r="315" spans="7:13" x14ac:dyDescent="0.25">
      <c r="G315" s="9"/>
      <c r="H315" s="9"/>
      <c r="I315" s="15"/>
      <c r="J315" s="12"/>
      <c r="K315" s="12"/>
      <c r="L315" s="5"/>
      <c r="M315" s="12"/>
    </row>
    <row r="316" spans="7:13" x14ac:dyDescent="0.25">
      <c r="G316" s="9"/>
      <c r="H316" s="9"/>
      <c r="I316" s="15"/>
      <c r="J316" s="12"/>
      <c r="K316" s="12"/>
      <c r="L316" s="5"/>
      <c r="M316" s="12"/>
    </row>
    <row r="317" spans="7:13" x14ac:dyDescent="0.25">
      <c r="G317" s="9"/>
      <c r="H317" s="9"/>
      <c r="I317" s="15"/>
      <c r="J317" s="12"/>
      <c r="K317" s="12"/>
      <c r="L317" s="5"/>
      <c r="M317" s="12"/>
    </row>
    <row r="318" spans="7:13" x14ac:dyDescent="0.25">
      <c r="G318" s="9"/>
      <c r="H318" s="9"/>
      <c r="I318" s="15"/>
      <c r="J318" s="12"/>
      <c r="K318" s="12"/>
      <c r="L318" s="5"/>
      <c r="M318" s="12"/>
    </row>
    <row r="319" spans="7:13" x14ac:dyDescent="0.25">
      <c r="G319" s="9"/>
      <c r="H319" s="9"/>
      <c r="I319" s="15"/>
      <c r="J319" s="12"/>
      <c r="K319" s="12"/>
      <c r="L319" s="5"/>
      <c r="M319" s="12"/>
    </row>
    <row r="320" spans="7:13" x14ac:dyDescent="0.25">
      <c r="G320" s="9"/>
      <c r="H320" s="9"/>
      <c r="I320" s="15"/>
      <c r="J320" s="12"/>
      <c r="K320" s="12"/>
      <c r="L320" s="5"/>
      <c r="M320" s="12"/>
    </row>
    <row r="321" spans="7:13" x14ac:dyDescent="0.25">
      <c r="G321" s="9"/>
      <c r="H321" s="9"/>
      <c r="I321" s="15"/>
      <c r="J321" s="12"/>
      <c r="K321" s="12"/>
      <c r="L321" s="5"/>
      <c r="M321" s="12"/>
    </row>
    <row r="322" spans="7:13" x14ac:dyDescent="0.25">
      <c r="G322" s="9"/>
      <c r="H322" s="9"/>
      <c r="I322" s="15"/>
      <c r="J322" s="12"/>
      <c r="K322" s="12"/>
      <c r="L322" s="5"/>
      <c r="M322" s="12"/>
    </row>
    <row r="323" spans="7:13" x14ac:dyDescent="0.25">
      <c r="G323" s="9"/>
      <c r="H323" s="9"/>
      <c r="I323" s="15"/>
      <c r="J323" s="12"/>
      <c r="K323" s="12"/>
      <c r="L323" s="5"/>
      <c r="M323" s="12"/>
    </row>
    <row r="324" spans="7:13" x14ac:dyDescent="0.25">
      <c r="G324" s="9"/>
      <c r="H324" s="9"/>
      <c r="I324" s="15"/>
      <c r="J324" s="12"/>
      <c r="K324" s="12"/>
      <c r="L324" s="5"/>
      <c r="M324" s="12"/>
    </row>
    <row r="325" spans="7:13" x14ac:dyDescent="0.25">
      <c r="G325" s="9"/>
      <c r="H325" s="9"/>
      <c r="I325" s="15"/>
      <c r="J325" s="12"/>
      <c r="K325" s="12"/>
      <c r="L325" s="5"/>
      <c r="M325" s="12"/>
    </row>
    <row r="326" spans="7:13" x14ac:dyDescent="0.25">
      <c r="G326" s="9"/>
      <c r="H326" s="9"/>
      <c r="I326" s="15"/>
      <c r="J326" s="12"/>
      <c r="K326" s="12"/>
      <c r="L326" s="5"/>
      <c r="M326" s="12"/>
    </row>
    <row r="327" spans="7:13" x14ac:dyDescent="0.25">
      <c r="G327" s="9"/>
      <c r="H327" s="9"/>
      <c r="I327" s="15"/>
      <c r="J327" s="12"/>
      <c r="K327" s="12"/>
      <c r="L327" s="5"/>
      <c r="M327" s="12"/>
    </row>
    <row r="328" spans="7:13" x14ac:dyDescent="0.25">
      <c r="G328" s="9"/>
      <c r="H328" s="9"/>
      <c r="I328" s="15"/>
      <c r="J328" s="12"/>
      <c r="K328" s="12"/>
      <c r="L328" s="5"/>
      <c r="M328" s="12"/>
    </row>
    <row r="329" spans="7:13" x14ac:dyDescent="0.25">
      <c r="G329" s="9"/>
      <c r="H329" s="9"/>
      <c r="I329" s="15"/>
      <c r="J329" s="12"/>
      <c r="K329" s="12"/>
      <c r="L329" s="5"/>
      <c r="M329" s="12"/>
    </row>
    <row r="330" spans="7:13" x14ac:dyDescent="0.25">
      <c r="G330" s="9"/>
      <c r="H330" s="9"/>
      <c r="I330" s="15"/>
      <c r="J330" s="12"/>
      <c r="K330" s="12"/>
      <c r="L330" s="5"/>
      <c r="M330" s="12"/>
    </row>
    <row r="331" spans="7:13" x14ac:dyDescent="0.25">
      <c r="G331" s="9"/>
      <c r="H331" s="9"/>
      <c r="I331" s="15"/>
      <c r="J331" s="12"/>
      <c r="K331" s="12"/>
      <c r="L331" s="5"/>
      <c r="M331" s="12"/>
    </row>
    <row r="332" spans="7:13" x14ac:dyDescent="0.25">
      <c r="G332" s="9"/>
      <c r="H332" s="9"/>
      <c r="I332" s="15"/>
      <c r="J332" s="12"/>
      <c r="K332" s="12"/>
      <c r="L332" s="5"/>
      <c r="M332" s="12"/>
    </row>
    <row r="333" spans="7:13" x14ac:dyDescent="0.25">
      <c r="G333" s="9"/>
      <c r="H333" s="9"/>
      <c r="I333" s="15"/>
      <c r="J333" s="12"/>
      <c r="K333" s="12"/>
      <c r="L333" s="5"/>
      <c r="M333" s="12"/>
    </row>
    <row r="334" spans="7:13" x14ac:dyDescent="0.25">
      <c r="G334" s="9"/>
      <c r="H334" s="9"/>
      <c r="I334" s="15"/>
      <c r="J334" s="12"/>
      <c r="K334" s="12"/>
      <c r="L334" s="5"/>
      <c r="M334" s="12"/>
    </row>
    <row r="335" spans="7:13" x14ac:dyDescent="0.25">
      <c r="G335" s="9"/>
      <c r="H335" s="9"/>
      <c r="I335" s="15"/>
      <c r="J335" s="12"/>
      <c r="K335" s="12"/>
      <c r="L335" s="5"/>
      <c r="M335" s="12"/>
    </row>
    <row r="336" spans="7:13" x14ac:dyDescent="0.25">
      <c r="G336" s="9"/>
      <c r="H336" s="9"/>
      <c r="I336" s="15"/>
      <c r="J336" s="12"/>
      <c r="K336" s="12"/>
      <c r="L336" s="5"/>
      <c r="M336" s="12"/>
    </row>
    <row r="337" spans="7:13" x14ac:dyDescent="0.25">
      <c r="G337" s="9"/>
      <c r="H337" s="9"/>
      <c r="I337" s="15"/>
      <c r="J337" s="12"/>
      <c r="K337" s="12"/>
      <c r="L337" s="5"/>
      <c r="M337" s="12"/>
    </row>
    <row r="338" spans="7:13" x14ac:dyDescent="0.25">
      <c r="G338" s="9"/>
      <c r="H338" s="9"/>
      <c r="I338" s="15"/>
      <c r="J338" s="12"/>
      <c r="K338" s="12"/>
      <c r="L338" s="5"/>
      <c r="M338" s="12"/>
    </row>
    <row r="339" spans="7:13" x14ac:dyDescent="0.25">
      <c r="G339" s="9"/>
      <c r="H339" s="9"/>
      <c r="I339" s="15"/>
      <c r="J339" s="12"/>
      <c r="K339" s="12"/>
      <c r="L339" s="5"/>
      <c r="M339" s="12"/>
    </row>
    <row r="340" spans="7:13" x14ac:dyDescent="0.25">
      <c r="G340" s="9"/>
      <c r="H340" s="9"/>
      <c r="I340" s="15"/>
      <c r="J340" s="12"/>
      <c r="K340" s="12"/>
      <c r="L340" s="5"/>
      <c r="M340" s="12"/>
    </row>
    <row r="341" spans="7:13" x14ac:dyDescent="0.25">
      <c r="G341" s="9"/>
      <c r="H341" s="9"/>
      <c r="I341" s="15"/>
      <c r="J341" s="12"/>
      <c r="K341" s="12"/>
      <c r="L341" s="5"/>
      <c r="M341" s="12"/>
    </row>
    <row r="342" spans="7:13" x14ac:dyDescent="0.25">
      <c r="G342" s="9"/>
      <c r="H342" s="9"/>
      <c r="I342" s="15"/>
      <c r="J342" s="12"/>
      <c r="K342" s="12"/>
      <c r="L342" s="5"/>
      <c r="M342" s="12"/>
    </row>
    <row r="343" spans="7:13" x14ac:dyDescent="0.25">
      <c r="G343" s="9"/>
      <c r="H343" s="9"/>
      <c r="I343" s="15"/>
      <c r="J343" s="12"/>
      <c r="K343" s="12"/>
      <c r="L343" s="5"/>
      <c r="M343" s="12"/>
    </row>
    <row r="344" spans="7:13" x14ac:dyDescent="0.25">
      <c r="G344" s="9"/>
      <c r="H344" s="9"/>
      <c r="I344" s="15"/>
      <c r="J344" s="12"/>
      <c r="K344" s="12"/>
      <c r="L344" s="5"/>
      <c r="M344" s="12"/>
    </row>
    <row r="345" spans="7:13" x14ac:dyDescent="0.25">
      <c r="G345" s="9"/>
      <c r="H345" s="9"/>
      <c r="I345" s="15"/>
      <c r="J345" s="12"/>
      <c r="K345" s="12"/>
      <c r="L345" s="5"/>
      <c r="M345" s="12"/>
    </row>
    <row r="346" spans="7:13" x14ac:dyDescent="0.25">
      <c r="G346" s="9"/>
      <c r="H346" s="9"/>
      <c r="I346" s="15"/>
      <c r="J346" s="12"/>
      <c r="K346" s="12"/>
      <c r="L346" s="5"/>
      <c r="M346" s="12"/>
    </row>
    <row r="347" spans="7:13" x14ac:dyDescent="0.25">
      <c r="G347" s="9"/>
      <c r="H347" s="9"/>
      <c r="I347" s="15"/>
      <c r="J347" s="12"/>
      <c r="K347" s="12"/>
      <c r="L347" s="5"/>
      <c r="M347" s="12"/>
    </row>
    <row r="348" spans="7:13" x14ac:dyDescent="0.25">
      <c r="G348" s="9"/>
      <c r="H348" s="9"/>
      <c r="I348" s="15"/>
      <c r="J348" s="12"/>
      <c r="K348" s="12"/>
      <c r="L348" s="5"/>
      <c r="M348" s="12"/>
    </row>
    <row r="349" spans="7:13" x14ac:dyDescent="0.25">
      <c r="G349" s="9"/>
      <c r="H349" s="9"/>
      <c r="I349" s="15"/>
      <c r="J349" s="12"/>
      <c r="K349" s="12"/>
      <c r="L349" s="5"/>
      <c r="M349" s="12"/>
    </row>
    <row r="350" spans="7:13" x14ac:dyDescent="0.25">
      <c r="G350" s="9"/>
      <c r="H350" s="9"/>
      <c r="I350" s="15"/>
      <c r="J350" s="12"/>
      <c r="K350" s="12"/>
      <c r="L350" s="5"/>
      <c r="M350" s="12"/>
    </row>
    <row r="351" spans="7:13" x14ac:dyDescent="0.25">
      <c r="G351" s="9"/>
      <c r="H351" s="9"/>
      <c r="I351" s="15"/>
      <c r="J351" s="12"/>
      <c r="K351" s="12"/>
      <c r="L351" s="5"/>
      <c r="M351" s="12"/>
    </row>
    <row r="352" spans="7:13" x14ac:dyDescent="0.25">
      <c r="G352" s="9"/>
      <c r="H352" s="9"/>
      <c r="I352" s="15"/>
      <c r="J352" s="12"/>
      <c r="K352" s="12"/>
      <c r="L352" s="5"/>
      <c r="M352" s="12"/>
    </row>
    <row r="353" spans="7:13" x14ac:dyDescent="0.25">
      <c r="G353" s="9"/>
      <c r="H353" s="9"/>
      <c r="I353" s="15"/>
      <c r="J353" s="12"/>
      <c r="K353" s="12"/>
      <c r="L353" s="5"/>
      <c r="M353" s="12"/>
    </row>
    <row r="354" spans="7:13" x14ac:dyDescent="0.25">
      <c r="G354" s="9"/>
      <c r="H354" s="9"/>
      <c r="I354" s="15"/>
      <c r="J354" s="12"/>
      <c r="K354" s="12"/>
      <c r="L354" s="5"/>
      <c r="M354" s="12"/>
    </row>
    <row r="355" spans="7:13" x14ac:dyDescent="0.25">
      <c r="G355" s="9"/>
      <c r="H355" s="9"/>
      <c r="I355" s="15"/>
      <c r="J355" s="12"/>
      <c r="K355" s="12"/>
      <c r="L355" s="5"/>
      <c r="M355" s="12"/>
    </row>
    <row r="356" spans="7:13" x14ac:dyDescent="0.25">
      <c r="G356" s="9"/>
      <c r="H356" s="9"/>
      <c r="I356" s="15"/>
      <c r="J356" s="12"/>
      <c r="K356" s="12"/>
      <c r="L356" s="5"/>
      <c r="M356" s="12"/>
    </row>
    <row r="357" spans="7:13" x14ac:dyDescent="0.25">
      <c r="G357" s="9"/>
      <c r="H357" s="9"/>
      <c r="I357" s="15"/>
      <c r="J357" s="12"/>
      <c r="K357" s="12"/>
      <c r="L357" s="5"/>
      <c r="M357" s="12"/>
    </row>
    <row r="358" spans="7:13" x14ac:dyDescent="0.25">
      <c r="G358" s="9"/>
      <c r="H358" s="9"/>
      <c r="I358" s="15"/>
      <c r="J358" s="12"/>
      <c r="K358" s="12"/>
      <c r="L358" s="5"/>
      <c r="M358" s="12"/>
    </row>
    <row r="359" spans="7:13" x14ac:dyDescent="0.25">
      <c r="G359" s="9"/>
      <c r="H359" s="9"/>
      <c r="I359" s="15"/>
      <c r="J359" s="12"/>
      <c r="K359" s="12"/>
      <c r="L359" s="5"/>
      <c r="M359" s="12"/>
    </row>
    <row r="360" spans="7:13" x14ac:dyDescent="0.25">
      <c r="G360" s="9"/>
      <c r="H360" s="9"/>
      <c r="I360" s="15"/>
      <c r="J360" s="12"/>
      <c r="K360" s="12"/>
      <c r="L360" s="5"/>
      <c r="M360" s="12"/>
    </row>
    <row r="361" spans="7:13" x14ac:dyDescent="0.25">
      <c r="G361" s="9"/>
      <c r="H361" s="9"/>
      <c r="I361" s="15"/>
      <c r="J361" s="12"/>
      <c r="K361" s="12"/>
      <c r="L361" s="5"/>
      <c r="M361" s="12"/>
    </row>
    <row r="362" spans="7:13" x14ac:dyDescent="0.25">
      <c r="G362" s="9"/>
      <c r="H362" s="9"/>
      <c r="I362" s="15"/>
      <c r="J362" s="12"/>
      <c r="K362" s="12"/>
      <c r="L362" s="5"/>
      <c r="M362" s="12"/>
    </row>
    <row r="363" spans="7:13" x14ac:dyDescent="0.25">
      <c r="G363" s="9"/>
      <c r="H363" s="9"/>
      <c r="I363" s="15"/>
      <c r="J363" s="12"/>
      <c r="K363" s="12"/>
      <c r="L363" s="5"/>
      <c r="M363" s="12"/>
    </row>
    <row r="364" spans="7:13" x14ac:dyDescent="0.25">
      <c r="G364" s="9"/>
      <c r="H364" s="9"/>
      <c r="I364" s="15"/>
      <c r="J364" s="12"/>
      <c r="K364" s="12"/>
      <c r="L364" s="5"/>
      <c r="M364" s="12"/>
    </row>
    <row r="365" spans="7:13" x14ac:dyDescent="0.25">
      <c r="G365" s="9"/>
      <c r="H365" s="9"/>
      <c r="I365" s="15"/>
      <c r="J365" s="12"/>
      <c r="K365" s="12"/>
      <c r="L365" s="5"/>
      <c r="M365" s="12"/>
    </row>
    <row r="366" spans="7:13" x14ac:dyDescent="0.25">
      <c r="G366" s="9"/>
      <c r="H366" s="9"/>
      <c r="I366" s="15"/>
      <c r="J366" s="12"/>
      <c r="K366" s="12"/>
      <c r="L366" s="5"/>
      <c r="M366" s="12"/>
    </row>
    <row r="367" spans="7:13" x14ac:dyDescent="0.25">
      <c r="G367" s="9"/>
      <c r="H367" s="9"/>
      <c r="I367" s="15"/>
      <c r="J367" s="12"/>
      <c r="K367" s="12"/>
      <c r="L367" s="5"/>
      <c r="M367" s="12"/>
    </row>
    <row r="368" spans="7:13" x14ac:dyDescent="0.25">
      <c r="G368" s="9"/>
      <c r="H368" s="9"/>
      <c r="I368" s="15"/>
      <c r="J368" s="12"/>
      <c r="K368" s="12"/>
      <c r="L368" s="5"/>
      <c r="M368" s="12"/>
    </row>
    <row r="369" spans="7:13" x14ac:dyDescent="0.25">
      <c r="G369" s="9"/>
      <c r="H369" s="9"/>
      <c r="I369" s="15"/>
      <c r="J369" s="12"/>
      <c r="K369" s="12"/>
      <c r="L369" s="5"/>
      <c r="M369" s="12"/>
    </row>
    <row r="370" spans="7:13" x14ac:dyDescent="0.25">
      <c r="G370" s="9"/>
      <c r="H370" s="9"/>
      <c r="I370" s="15"/>
      <c r="J370" s="12"/>
      <c r="K370" s="12"/>
      <c r="L370" s="5"/>
      <c r="M370" s="12"/>
    </row>
    <row r="371" spans="7:13" x14ac:dyDescent="0.25">
      <c r="G371" s="9"/>
      <c r="H371" s="9"/>
      <c r="I371" s="15"/>
      <c r="J371" s="12"/>
      <c r="K371" s="12"/>
      <c r="L371" s="5"/>
      <c r="M371" s="12"/>
    </row>
    <row r="372" spans="7:13" x14ac:dyDescent="0.25">
      <c r="G372" s="9"/>
      <c r="H372" s="9"/>
      <c r="I372" s="15"/>
      <c r="J372" s="12"/>
      <c r="K372" s="12"/>
      <c r="L372" s="5"/>
      <c r="M372" s="12"/>
    </row>
    <row r="373" spans="7:13" x14ac:dyDescent="0.25">
      <c r="G373" s="9"/>
      <c r="H373" s="9"/>
      <c r="I373" s="15"/>
      <c r="J373" s="12"/>
      <c r="K373" s="12"/>
      <c r="L373" s="5"/>
      <c r="M373" s="12"/>
    </row>
    <row r="374" spans="7:13" x14ac:dyDescent="0.25">
      <c r="G374" s="9"/>
      <c r="H374" s="9"/>
      <c r="I374" s="15"/>
      <c r="J374" s="12"/>
      <c r="K374" s="12"/>
      <c r="L374" s="5"/>
      <c r="M374" s="12"/>
    </row>
    <row r="375" spans="7:13" x14ac:dyDescent="0.25">
      <c r="G375" s="9"/>
      <c r="H375" s="9"/>
      <c r="I375" s="15"/>
      <c r="J375" s="12"/>
      <c r="K375" s="12"/>
      <c r="L375" s="5"/>
      <c r="M375" s="12"/>
    </row>
    <row r="376" spans="7:13" x14ac:dyDescent="0.25">
      <c r="G376" s="9"/>
      <c r="H376" s="9"/>
      <c r="I376" s="15"/>
      <c r="J376" s="12"/>
      <c r="K376" s="12"/>
      <c r="L376" s="5"/>
      <c r="M376" s="12"/>
    </row>
    <row r="377" spans="7:13" x14ac:dyDescent="0.25">
      <c r="G377" s="9"/>
      <c r="H377" s="9"/>
      <c r="I377" s="15"/>
      <c r="J377" s="12"/>
      <c r="K377" s="12"/>
      <c r="L377" s="5"/>
      <c r="M377" s="12"/>
    </row>
    <row r="378" spans="7:13" x14ac:dyDescent="0.25">
      <c r="G378" s="9"/>
      <c r="H378" s="9"/>
      <c r="I378" s="15"/>
      <c r="J378" s="12"/>
      <c r="K378" s="12"/>
      <c r="L378" s="5"/>
      <c r="M378" s="12"/>
    </row>
    <row r="379" spans="7:13" x14ac:dyDescent="0.25">
      <c r="G379" s="9"/>
      <c r="H379" s="9"/>
      <c r="I379" s="15"/>
      <c r="J379" s="12"/>
      <c r="K379" s="12"/>
      <c r="L379" s="5"/>
      <c r="M379" s="12"/>
    </row>
    <row r="380" spans="7:13" x14ac:dyDescent="0.25">
      <c r="G380" s="9"/>
      <c r="H380" s="9"/>
      <c r="I380" s="15"/>
      <c r="J380" s="12"/>
      <c r="K380" s="12"/>
      <c r="L380" s="5"/>
      <c r="M380" s="12"/>
    </row>
    <row r="381" spans="7:13" x14ac:dyDescent="0.25">
      <c r="G381" s="9"/>
      <c r="H381" s="9"/>
      <c r="I381" s="15"/>
      <c r="J381" s="12"/>
      <c r="K381" s="12"/>
      <c r="L381" s="5"/>
      <c r="M381" s="12"/>
    </row>
    <row r="382" spans="7:13" x14ac:dyDescent="0.25">
      <c r="G382" s="9"/>
      <c r="H382" s="9"/>
      <c r="I382" s="15"/>
      <c r="J382" s="12"/>
      <c r="K382" s="12"/>
      <c r="L382" s="5"/>
      <c r="M382" s="12"/>
    </row>
    <row r="383" spans="7:13" x14ac:dyDescent="0.25">
      <c r="G383" s="9"/>
      <c r="H383" s="9"/>
      <c r="I383" s="15"/>
      <c r="J383" s="12"/>
      <c r="K383" s="12"/>
      <c r="L383" s="5"/>
      <c r="M383" s="12"/>
    </row>
    <row r="384" spans="7:13" x14ac:dyDescent="0.25">
      <c r="G384" s="9"/>
      <c r="H384" s="9"/>
      <c r="I384" s="15"/>
      <c r="J384" s="12"/>
      <c r="K384" s="12"/>
      <c r="L384" s="5"/>
      <c r="M384" s="12"/>
    </row>
    <row r="385" spans="7:13" x14ac:dyDescent="0.25">
      <c r="G385" s="9"/>
      <c r="H385" s="9"/>
      <c r="I385" s="15"/>
      <c r="J385" s="12"/>
      <c r="K385" s="12"/>
      <c r="L385" s="5"/>
      <c r="M385" s="12"/>
    </row>
    <row r="386" spans="7:13" x14ac:dyDescent="0.25">
      <c r="G386" s="9"/>
      <c r="H386" s="9"/>
      <c r="I386" s="15"/>
      <c r="J386" s="12"/>
      <c r="K386" s="12"/>
      <c r="L386" s="5"/>
      <c r="M386" s="12"/>
    </row>
    <row r="387" spans="7:13" x14ac:dyDescent="0.25">
      <c r="G387" s="9"/>
      <c r="H387" s="9"/>
      <c r="I387" s="15"/>
      <c r="J387" s="12"/>
      <c r="K387" s="12"/>
      <c r="L387" s="5"/>
      <c r="M387" s="12"/>
    </row>
    <row r="388" spans="7:13" x14ac:dyDescent="0.25">
      <c r="G388" s="9"/>
      <c r="H388" s="9"/>
      <c r="I388" s="15"/>
      <c r="J388" s="12"/>
      <c r="K388" s="12"/>
      <c r="L388" s="5"/>
      <c r="M388" s="12"/>
    </row>
    <row r="389" spans="7:13" x14ac:dyDescent="0.25">
      <c r="G389" s="9"/>
      <c r="H389" s="9"/>
      <c r="I389" s="15"/>
      <c r="J389" s="12"/>
      <c r="K389" s="12"/>
      <c r="L389" s="5"/>
      <c r="M389" s="12"/>
    </row>
    <row r="390" spans="7:13" x14ac:dyDescent="0.25">
      <c r="G390" s="9"/>
      <c r="H390" s="9"/>
      <c r="I390" s="15"/>
      <c r="J390" s="12"/>
      <c r="K390" s="12"/>
      <c r="L390" s="5"/>
      <c r="M390" s="12"/>
    </row>
    <row r="391" spans="7:13" x14ac:dyDescent="0.25">
      <c r="G391" s="9"/>
      <c r="H391" s="9"/>
      <c r="I391" s="15"/>
      <c r="J391" s="12"/>
      <c r="K391" s="12"/>
      <c r="L391" s="5"/>
      <c r="M391" s="12"/>
    </row>
    <row r="392" spans="7:13" x14ac:dyDescent="0.25">
      <c r="G392" s="9"/>
      <c r="H392" s="9"/>
      <c r="I392" s="15"/>
      <c r="J392" s="12"/>
      <c r="K392" s="12"/>
      <c r="L392" s="5"/>
      <c r="M392" s="12"/>
    </row>
    <row r="393" spans="7:13" x14ac:dyDescent="0.25">
      <c r="G393" s="9"/>
      <c r="H393" s="9"/>
      <c r="I393" s="15"/>
      <c r="J393" s="12"/>
      <c r="K393" s="12"/>
      <c r="L393" s="5"/>
      <c r="M393" s="12"/>
    </row>
    <row r="394" spans="7:13" x14ac:dyDescent="0.25">
      <c r="G394" s="9"/>
      <c r="H394" s="9"/>
      <c r="I394" s="15"/>
      <c r="J394" s="12"/>
      <c r="K394" s="12"/>
      <c r="L394" s="5"/>
      <c r="M394" s="12"/>
    </row>
    <row r="395" spans="7:13" x14ac:dyDescent="0.25">
      <c r="G395" s="9"/>
      <c r="H395" s="9"/>
      <c r="I395" s="15"/>
      <c r="J395" s="12"/>
      <c r="K395" s="12"/>
      <c r="L395" s="5"/>
      <c r="M395" s="12"/>
    </row>
    <row r="396" spans="7:13" x14ac:dyDescent="0.25">
      <c r="G396" s="9"/>
      <c r="H396" s="9"/>
      <c r="I396" s="15"/>
      <c r="J396" s="12"/>
      <c r="K396" s="12"/>
      <c r="L396" s="5"/>
      <c r="M396" s="12"/>
    </row>
    <row r="397" spans="7:13" x14ac:dyDescent="0.25">
      <c r="G397" s="9"/>
      <c r="H397" s="9"/>
      <c r="I397" s="15"/>
      <c r="J397" s="12"/>
      <c r="K397" s="12"/>
      <c r="L397" s="5"/>
      <c r="M397" s="12"/>
    </row>
    <row r="398" spans="7:13" x14ac:dyDescent="0.25">
      <c r="G398" s="9"/>
      <c r="H398" s="9"/>
      <c r="I398" s="15"/>
      <c r="J398" s="12"/>
      <c r="K398" s="12"/>
      <c r="L398" s="5"/>
      <c r="M398" s="12"/>
    </row>
    <row r="399" spans="7:13" x14ac:dyDescent="0.25">
      <c r="G399" s="9"/>
      <c r="H399" s="9"/>
      <c r="I399" s="15"/>
      <c r="J399" s="12"/>
      <c r="K399" s="12"/>
      <c r="L399" s="5"/>
      <c r="M399" s="12"/>
    </row>
    <row r="400" spans="7:13" x14ac:dyDescent="0.25">
      <c r="G400" s="9"/>
      <c r="H400" s="9"/>
      <c r="I400" s="15"/>
      <c r="J400" s="12"/>
      <c r="K400" s="12"/>
      <c r="L400" s="5"/>
      <c r="M400" s="12"/>
    </row>
    <row r="401" spans="7:13" x14ac:dyDescent="0.25">
      <c r="G401" s="9"/>
      <c r="H401" s="9"/>
      <c r="I401" s="15"/>
      <c r="J401" s="12"/>
      <c r="K401" s="12"/>
      <c r="L401" s="5"/>
      <c r="M401" s="12"/>
    </row>
    <row r="402" spans="7:13" x14ac:dyDescent="0.25">
      <c r="G402" s="9"/>
      <c r="H402" s="9"/>
      <c r="I402" s="15"/>
      <c r="J402" s="12"/>
      <c r="K402" s="12"/>
      <c r="L402" s="5"/>
      <c r="M402" s="12"/>
    </row>
    <row r="403" spans="7:13" x14ac:dyDescent="0.25">
      <c r="G403" s="9"/>
      <c r="H403" s="9"/>
      <c r="I403" s="15"/>
      <c r="J403" s="12"/>
      <c r="K403" s="12"/>
      <c r="L403" s="5"/>
      <c r="M403" s="12"/>
    </row>
    <row r="404" spans="7:13" x14ac:dyDescent="0.25">
      <c r="G404" s="9"/>
      <c r="H404" s="9"/>
      <c r="I404" s="15"/>
      <c r="J404" s="12"/>
      <c r="K404" s="12"/>
      <c r="L404" s="5"/>
      <c r="M404" s="12"/>
    </row>
    <row r="405" spans="7:13" x14ac:dyDescent="0.25">
      <c r="G405" s="9"/>
      <c r="H405" s="9"/>
      <c r="I405" s="15"/>
      <c r="J405" s="12"/>
      <c r="K405" s="12"/>
      <c r="L405" s="5"/>
      <c r="M405" s="12"/>
    </row>
    <row r="406" spans="7:13" x14ac:dyDescent="0.25">
      <c r="G406" s="9"/>
      <c r="H406" s="9"/>
      <c r="I406" s="15"/>
      <c r="J406" s="12"/>
      <c r="K406" s="12"/>
      <c r="L406" s="5"/>
      <c r="M406" s="12"/>
    </row>
    <row r="407" spans="7:13" x14ac:dyDescent="0.25">
      <c r="G407" s="9"/>
      <c r="H407" s="9"/>
      <c r="I407" s="15"/>
      <c r="J407" s="12"/>
      <c r="K407" s="12"/>
      <c r="L407" s="5"/>
      <c r="M407" s="12"/>
    </row>
    <row r="408" spans="7:13" x14ac:dyDescent="0.25">
      <c r="G408" s="9"/>
      <c r="H408" s="9"/>
      <c r="I408" s="15"/>
      <c r="J408" s="12"/>
      <c r="K408" s="12"/>
      <c r="L408" s="5"/>
      <c r="M408" s="12"/>
    </row>
    <row r="409" spans="7:13" x14ac:dyDescent="0.25">
      <c r="G409" s="9"/>
      <c r="H409" s="9"/>
      <c r="I409" s="15"/>
      <c r="J409" s="12"/>
      <c r="K409" s="12"/>
      <c r="L409" s="5"/>
      <c r="M409" s="12"/>
    </row>
    <row r="410" spans="7:13" x14ac:dyDescent="0.25">
      <c r="G410" s="9"/>
      <c r="H410" s="9"/>
      <c r="I410" s="15"/>
      <c r="J410" s="12"/>
      <c r="K410" s="12"/>
      <c r="L410" s="5"/>
      <c r="M410" s="12"/>
    </row>
    <row r="411" spans="7:13" x14ac:dyDescent="0.25">
      <c r="G411" s="9"/>
      <c r="H411" s="9"/>
      <c r="I411" s="15"/>
      <c r="J411" s="12"/>
      <c r="K411" s="12"/>
      <c r="L411" s="5"/>
      <c r="M411" s="12"/>
    </row>
    <row r="412" spans="7:13" x14ac:dyDescent="0.25">
      <c r="G412" s="9"/>
      <c r="H412" s="9"/>
      <c r="I412" s="15"/>
      <c r="J412" s="12"/>
      <c r="K412" s="12"/>
      <c r="L412" s="5"/>
      <c r="M412" s="12"/>
    </row>
    <row r="413" spans="7:13" x14ac:dyDescent="0.25">
      <c r="G413" s="9"/>
      <c r="H413" s="9"/>
      <c r="I413" s="15"/>
      <c r="J413" s="12"/>
      <c r="K413" s="12"/>
      <c r="L413" s="5"/>
      <c r="M413" s="12"/>
    </row>
    <row r="414" spans="7:13" x14ac:dyDescent="0.25">
      <c r="G414" s="9"/>
      <c r="H414" s="9"/>
      <c r="I414" s="15"/>
      <c r="J414" s="12"/>
      <c r="K414" s="12"/>
      <c r="L414" s="5"/>
      <c r="M414" s="12"/>
    </row>
    <row r="415" spans="7:13" x14ac:dyDescent="0.25">
      <c r="G415" s="9"/>
      <c r="H415" s="9"/>
      <c r="I415" s="15"/>
      <c r="J415" s="12"/>
      <c r="K415" s="12"/>
      <c r="L415" s="5"/>
      <c r="M415" s="12"/>
    </row>
    <row r="416" spans="7:13" x14ac:dyDescent="0.25">
      <c r="G416" s="9"/>
      <c r="H416" s="9"/>
      <c r="I416" s="15"/>
      <c r="J416" s="12"/>
      <c r="K416" s="12"/>
      <c r="L416" s="5"/>
      <c r="M416" s="12"/>
    </row>
    <row r="417" spans="7:13" x14ac:dyDescent="0.25">
      <c r="G417" s="9"/>
      <c r="H417" s="9"/>
      <c r="I417" s="15"/>
      <c r="J417" s="12"/>
      <c r="K417" s="12"/>
      <c r="L417" s="5"/>
      <c r="M417" s="12"/>
    </row>
    <row r="418" spans="7:13" x14ac:dyDescent="0.25">
      <c r="G418" s="9"/>
      <c r="H418" s="9"/>
      <c r="I418" s="15"/>
      <c r="J418" s="12"/>
      <c r="K418" s="12"/>
      <c r="L418" s="5"/>
      <c r="M418" s="12"/>
    </row>
    <row r="419" spans="7:13" x14ac:dyDescent="0.25">
      <c r="G419" s="9"/>
      <c r="H419" s="9"/>
      <c r="I419" s="15"/>
      <c r="J419" s="12"/>
      <c r="K419" s="12"/>
      <c r="L419" s="5"/>
      <c r="M419" s="12"/>
    </row>
    <row r="420" spans="7:13" x14ac:dyDescent="0.25">
      <c r="G420" s="9"/>
      <c r="H420" s="9"/>
      <c r="I420" s="15"/>
      <c r="J420" s="12"/>
      <c r="K420" s="12"/>
      <c r="L420" s="5"/>
      <c r="M420" s="12"/>
    </row>
    <row r="421" spans="7:13" x14ac:dyDescent="0.25">
      <c r="G421" s="9"/>
      <c r="H421" s="9"/>
      <c r="I421" s="15"/>
      <c r="J421" s="12"/>
      <c r="K421" s="12"/>
      <c r="L421" s="5"/>
      <c r="M421" s="12"/>
    </row>
    <row r="422" spans="7:13" x14ac:dyDescent="0.25">
      <c r="G422" s="9"/>
      <c r="H422" s="9"/>
      <c r="I422" s="15"/>
      <c r="J422" s="12"/>
      <c r="K422" s="12"/>
      <c r="L422" s="5"/>
      <c r="M422" s="12"/>
    </row>
    <row r="423" spans="7:13" x14ac:dyDescent="0.25">
      <c r="G423" s="9"/>
      <c r="H423" s="9"/>
      <c r="I423" s="15"/>
      <c r="J423" s="12"/>
      <c r="K423" s="12"/>
      <c r="L423" s="5"/>
      <c r="M423" s="12"/>
    </row>
    <row r="424" spans="7:13" x14ac:dyDescent="0.25">
      <c r="G424" s="9"/>
      <c r="H424" s="9"/>
      <c r="I424" s="15"/>
      <c r="J424" s="12"/>
      <c r="K424" s="12"/>
      <c r="L424" s="5"/>
      <c r="M424" s="12"/>
    </row>
    <row r="425" spans="7:13" x14ac:dyDescent="0.25">
      <c r="G425" s="9"/>
      <c r="H425" s="9"/>
      <c r="I425" s="15"/>
      <c r="J425" s="12"/>
      <c r="K425" s="12"/>
      <c r="L425" s="5"/>
      <c r="M425" s="12"/>
    </row>
    <row r="426" spans="7:13" x14ac:dyDescent="0.25">
      <c r="G426" s="9"/>
      <c r="H426" s="9"/>
      <c r="I426" s="15"/>
      <c r="J426" s="12"/>
      <c r="K426" s="12"/>
      <c r="L426" s="5"/>
      <c r="M426" s="12"/>
    </row>
    <row r="427" spans="7:13" x14ac:dyDescent="0.25">
      <c r="G427" s="9"/>
      <c r="H427" s="9"/>
      <c r="I427" s="15"/>
      <c r="J427" s="12"/>
      <c r="K427" s="12"/>
      <c r="L427" s="5"/>
      <c r="M427" s="12"/>
    </row>
    <row r="428" spans="7:13" x14ac:dyDescent="0.25">
      <c r="G428" s="9"/>
      <c r="H428" s="9"/>
      <c r="I428" s="15"/>
      <c r="J428" s="12"/>
      <c r="K428" s="12"/>
      <c r="L428" s="5"/>
      <c r="M428" s="12"/>
    </row>
    <row r="429" spans="7:13" x14ac:dyDescent="0.25">
      <c r="G429" s="9"/>
      <c r="H429" s="9"/>
      <c r="I429" s="15"/>
      <c r="J429" s="12"/>
      <c r="K429" s="12"/>
      <c r="L429" s="5"/>
      <c r="M429" s="12"/>
    </row>
    <row r="430" spans="7:13" x14ac:dyDescent="0.25">
      <c r="G430" s="9"/>
      <c r="H430" s="9"/>
      <c r="I430" s="15"/>
      <c r="J430" s="12"/>
      <c r="K430" s="12"/>
      <c r="L430" s="5"/>
      <c r="M430" s="12"/>
    </row>
    <row r="431" spans="7:13" x14ac:dyDescent="0.25">
      <c r="G431" s="9"/>
      <c r="H431" s="9"/>
      <c r="I431" s="15"/>
      <c r="J431" s="12"/>
      <c r="K431" s="12"/>
      <c r="L431" s="5"/>
      <c r="M431" s="12"/>
    </row>
    <row r="432" spans="7:13" x14ac:dyDescent="0.25">
      <c r="G432" s="9"/>
      <c r="H432" s="9"/>
      <c r="I432" s="15"/>
      <c r="J432" s="12"/>
      <c r="K432" s="12"/>
      <c r="L432" s="5"/>
      <c r="M432" s="12"/>
    </row>
    <row r="433" spans="7:13" x14ac:dyDescent="0.25">
      <c r="G433" s="9"/>
      <c r="H433" s="9"/>
      <c r="I433" s="15"/>
      <c r="J433" s="12"/>
      <c r="K433" s="12"/>
      <c r="L433" s="5"/>
      <c r="M433" s="12"/>
    </row>
    <row r="434" spans="7:13" x14ac:dyDescent="0.25">
      <c r="G434" s="9"/>
      <c r="H434" s="9"/>
      <c r="I434" s="15"/>
      <c r="J434" s="12"/>
      <c r="K434" s="12"/>
      <c r="L434" s="5"/>
      <c r="M434" s="12"/>
    </row>
    <row r="435" spans="7:13" x14ac:dyDescent="0.25">
      <c r="G435" s="9"/>
      <c r="H435" s="9"/>
      <c r="I435" s="15"/>
      <c r="J435" s="12"/>
      <c r="K435" s="12"/>
      <c r="L435" s="5"/>
      <c r="M435" s="12"/>
    </row>
    <row r="436" spans="7:13" x14ac:dyDescent="0.25">
      <c r="G436" s="9"/>
      <c r="H436" s="9"/>
      <c r="I436" s="15"/>
      <c r="J436" s="12"/>
      <c r="K436" s="12"/>
      <c r="L436" s="5"/>
      <c r="M436" s="12"/>
    </row>
    <row r="437" spans="7:13" x14ac:dyDescent="0.25">
      <c r="G437" s="9"/>
      <c r="H437" s="9"/>
      <c r="I437" s="15"/>
      <c r="J437" s="12"/>
      <c r="K437" s="12"/>
      <c r="L437" s="5"/>
      <c r="M437" s="12"/>
    </row>
    <row r="438" spans="7:13" x14ac:dyDescent="0.25">
      <c r="G438" s="9"/>
      <c r="H438" s="9"/>
      <c r="I438" s="15"/>
      <c r="J438" s="12"/>
      <c r="K438" s="12"/>
      <c r="L438" s="5"/>
      <c r="M438" s="12"/>
    </row>
    <row r="439" spans="7:13" x14ac:dyDescent="0.25">
      <c r="G439" s="9"/>
      <c r="H439" s="9"/>
      <c r="I439" s="15"/>
      <c r="J439" s="12"/>
      <c r="K439" s="12"/>
      <c r="L439" s="5"/>
      <c r="M439" s="12"/>
    </row>
    <row r="440" spans="7:13" x14ac:dyDescent="0.25">
      <c r="G440" s="9"/>
      <c r="H440" s="9"/>
      <c r="I440" s="15"/>
      <c r="J440" s="12"/>
      <c r="K440" s="12"/>
      <c r="L440" s="5"/>
      <c r="M440" s="12"/>
    </row>
    <row r="441" spans="7:13" x14ac:dyDescent="0.25">
      <c r="G441" s="9"/>
      <c r="H441" s="9"/>
      <c r="I441" s="15"/>
      <c r="J441" s="12"/>
      <c r="K441" s="12"/>
      <c r="L441" s="5"/>
      <c r="M441" s="12"/>
    </row>
    <row r="442" spans="7:13" x14ac:dyDescent="0.25">
      <c r="G442" s="9"/>
      <c r="H442" s="9"/>
      <c r="I442" s="15"/>
      <c r="J442" s="12"/>
      <c r="K442" s="12"/>
      <c r="L442" s="5"/>
      <c r="M442" s="12"/>
    </row>
    <row r="443" spans="7:13" x14ac:dyDescent="0.25">
      <c r="G443" s="9"/>
      <c r="H443" s="9"/>
      <c r="I443" s="15"/>
      <c r="J443" s="12"/>
      <c r="K443" s="12"/>
      <c r="L443" s="5"/>
      <c r="M443" s="12"/>
    </row>
    <row r="444" spans="7:13" x14ac:dyDescent="0.25">
      <c r="G444" s="9"/>
      <c r="H444" s="9"/>
      <c r="I444" s="15"/>
      <c r="J444" s="12"/>
      <c r="K444" s="12"/>
      <c r="L444" s="5"/>
      <c r="M444" s="12"/>
    </row>
    <row r="445" spans="7:13" x14ac:dyDescent="0.25">
      <c r="G445" s="9"/>
      <c r="H445" s="9"/>
      <c r="I445" s="15"/>
      <c r="J445" s="12"/>
      <c r="K445" s="12"/>
      <c r="L445" s="5"/>
      <c r="M445" s="12"/>
    </row>
    <row r="446" spans="7:13" x14ac:dyDescent="0.25">
      <c r="G446" s="9"/>
      <c r="H446" s="9"/>
      <c r="I446" s="15"/>
      <c r="J446" s="12"/>
      <c r="K446" s="12"/>
      <c r="L446" s="5"/>
      <c r="M446" s="12"/>
    </row>
    <row r="447" spans="7:13" x14ac:dyDescent="0.25">
      <c r="G447" s="9"/>
      <c r="H447" s="9"/>
      <c r="I447" s="15"/>
      <c r="J447" s="12"/>
      <c r="K447" s="12"/>
      <c r="L447" s="5"/>
      <c r="M447" s="12"/>
    </row>
    <row r="448" spans="7:13" x14ac:dyDescent="0.25">
      <c r="G448" s="9"/>
      <c r="H448" s="9"/>
      <c r="I448" s="15"/>
      <c r="J448" s="12"/>
      <c r="K448" s="12"/>
      <c r="L448" s="5"/>
      <c r="M448" s="12"/>
    </row>
    <row r="449" spans="7:13" x14ac:dyDescent="0.25">
      <c r="G449" s="9"/>
      <c r="H449" s="9"/>
      <c r="I449" s="15"/>
      <c r="J449" s="12"/>
      <c r="K449" s="12"/>
      <c r="L449" s="5"/>
      <c r="M449" s="12"/>
    </row>
    <row r="450" spans="7:13" x14ac:dyDescent="0.25">
      <c r="G450" s="9"/>
      <c r="H450" s="9"/>
      <c r="I450" s="15"/>
      <c r="J450" s="12"/>
      <c r="K450" s="12"/>
      <c r="L450" s="5"/>
      <c r="M450" s="12"/>
    </row>
    <row r="451" spans="7:13" x14ac:dyDescent="0.25">
      <c r="G451" s="9"/>
      <c r="H451" s="9"/>
      <c r="I451" s="15"/>
      <c r="J451" s="12"/>
      <c r="K451" s="12"/>
      <c r="L451" s="5"/>
      <c r="M451" s="12"/>
    </row>
    <row r="452" spans="7:13" x14ac:dyDescent="0.25">
      <c r="G452" s="9"/>
      <c r="H452" s="9"/>
      <c r="I452" s="15"/>
      <c r="J452" s="12"/>
      <c r="K452" s="12"/>
      <c r="L452" s="5"/>
      <c r="M452" s="12"/>
    </row>
    <row r="453" spans="7:13" x14ac:dyDescent="0.25">
      <c r="G453" s="9"/>
      <c r="H453" s="9"/>
      <c r="I453" s="15"/>
      <c r="J453" s="12"/>
      <c r="K453" s="12"/>
      <c r="L453" s="5"/>
      <c r="M453" s="12"/>
    </row>
    <row r="454" spans="7:13" x14ac:dyDescent="0.25">
      <c r="G454" s="9"/>
      <c r="H454" s="9"/>
      <c r="I454" s="15"/>
      <c r="J454" s="12"/>
      <c r="K454" s="12"/>
      <c r="L454" s="5"/>
      <c r="M454" s="12"/>
    </row>
    <row r="455" spans="7:13" x14ac:dyDescent="0.25">
      <c r="G455" s="9"/>
      <c r="H455" s="9"/>
      <c r="I455" s="15"/>
      <c r="J455" s="12"/>
      <c r="K455" s="12"/>
      <c r="L455" s="5"/>
      <c r="M455" s="12"/>
    </row>
    <row r="456" spans="7:13" x14ac:dyDescent="0.25">
      <c r="G456" s="9"/>
      <c r="H456" s="9"/>
      <c r="I456" s="15"/>
      <c r="J456" s="12"/>
      <c r="K456" s="12"/>
      <c r="L456" s="5"/>
      <c r="M456" s="12"/>
    </row>
    <row r="457" spans="7:13" x14ac:dyDescent="0.25">
      <c r="G457" s="9"/>
      <c r="H457" s="9"/>
      <c r="I457" s="15"/>
      <c r="J457" s="12"/>
      <c r="K457" s="12"/>
      <c r="L457" s="5"/>
      <c r="M457" s="12"/>
    </row>
    <row r="458" spans="7:13" x14ac:dyDescent="0.25">
      <c r="G458" s="9"/>
      <c r="H458" s="9"/>
      <c r="I458" s="15"/>
      <c r="J458" s="12"/>
      <c r="K458" s="12"/>
      <c r="L458" s="5"/>
      <c r="M458" s="12"/>
    </row>
    <row r="459" spans="7:13" x14ac:dyDescent="0.25">
      <c r="G459" s="9"/>
      <c r="H459" s="9"/>
      <c r="I459" s="15"/>
      <c r="J459" s="12"/>
      <c r="K459" s="12"/>
      <c r="L459" s="5"/>
      <c r="M459" s="12"/>
    </row>
    <row r="460" spans="7:13" x14ac:dyDescent="0.25">
      <c r="G460" s="9"/>
      <c r="H460" s="9"/>
      <c r="I460" s="15"/>
      <c r="J460" s="12"/>
      <c r="K460" s="12"/>
      <c r="L460" s="5"/>
      <c r="M460" s="12"/>
    </row>
    <row r="461" spans="7:13" x14ac:dyDescent="0.25">
      <c r="G461" s="9"/>
      <c r="H461" s="9"/>
      <c r="I461" s="15"/>
      <c r="J461" s="12"/>
      <c r="K461" s="12"/>
      <c r="L461" s="5"/>
      <c r="M461" s="12"/>
    </row>
    <row r="462" spans="7:13" x14ac:dyDescent="0.25">
      <c r="G462" s="9"/>
      <c r="H462" s="9"/>
      <c r="I462" s="15"/>
      <c r="J462" s="12"/>
      <c r="K462" s="12"/>
      <c r="L462" s="5"/>
      <c r="M462" s="12"/>
    </row>
    <row r="463" spans="7:13" x14ac:dyDescent="0.25">
      <c r="G463" s="9"/>
      <c r="H463" s="9"/>
      <c r="I463" s="15"/>
      <c r="J463" s="12"/>
      <c r="K463" s="12"/>
      <c r="L463" s="5"/>
      <c r="M463" s="12"/>
    </row>
    <row r="464" spans="7:13" x14ac:dyDescent="0.25">
      <c r="G464" s="9"/>
      <c r="H464" s="9"/>
      <c r="I464" s="15"/>
      <c r="J464" s="12"/>
      <c r="K464" s="12"/>
      <c r="L464" s="5"/>
      <c r="M464" s="12"/>
    </row>
    <row r="465" spans="7:13" x14ac:dyDescent="0.25">
      <c r="G465" s="9"/>
      <c r="H465" s="9"/>
      <c r="I465" s="15"/>
      <c r="J465" s="12"/>
      <c r="K465" s="12"/>
      <c r="L465" s="5"/>
      <c r="M465" s="12"/>
    </row>
    <row r="466" spans="7:13" x14ac:dyDescent="0.25">
      <c r="G466" s="9"/>
      <c r="H466" s="9"/>
      <c r="I466" s="15"/>
      <c r="J466" s="12"/>
      <c r="K466" s="12"/>
      <c r="L466" s="5"/>
      <c r="M466" s="12"/>
    </row>
    <row r="467" spans="7:13" x14ac:dyDescent="0.25">
      <c r="G467" s="9"/>
      <c r="H467" s="9"/>
      <c r="I467" s="15"/>
      <c r="J467" s="12"/>
      <c r="K467" s="12"/>
      <c r="L467" s="5"/>
      <c r="M467" s="12"/>
    </row>
    <row r="468" spans="7:13" x14ac:dyDescent="0.25">
      <c r="G468" s="9"/>
      <c r="H468" s="9"/>
      <c r="I468" s="15"/>
      <c r="J468" s="12"/>
      <c r="K468" s="12"/>
      <c r="L468" s="5"/>
      <c r="M468" s="12"/>
    </row>
    <row r="469" spans="7:13" x14ac:dyDescent="0.25">
      <c r="G469" s="9"/>
      <c r="H469" s="9"/>
      <c r="I469" s="15"/>
      <c r="J469" s="12"/>
      <c r="K469" s="12"/>
      <c r="L469" s="5"/>
      <c r="M469" s="12"/>
    </row>
    <row r="470" spans="7:13" x14ac:dyDescent="0.25">
      <c r="G470" s="9"/>
      <c r="H470" s="9"/>
      <c r="I470" s="15"/>
      <c r="J470" s="12"/>
      <c r="K470" s="12"/>
      <c r="L470" s="5"/>
      <c r="M470" s="12"/>
    </row>
    <row r="471" spans="7:13" x14ac:dyDescent="0.25">
      <c r="G471" s="9"/>
      <c r="H471" s="9"/>
      <c r="I471" s="15"/>
      <c r="J471" s="12"/>
      <c r="K471" s="12"/>
      <c r="L471" s="5"/>
      <c r="M471" s="12"/>
    </row>
    <row r="472" spans="7:13" x14ac:dyDescent="0.25">
      <c r="G472" s="9"/>
      <c r="H472" s="9"/>
      <c r="I472" s="15"/>
      <c r="J472" s="12"/>
      <c r="K472" s="12"/>
      <c r="L472" s="5"/>
      <c r="M472" s="12"/>
    </row>
    <row r="473" spans="7:13" x14ac:dyDescent="0.25">
      <c r="G473" s="9"/>
      <c r="H473" s="9"/>
      <c r="I473" s="15"/>
      <c r="J473" s="12"/>
      <c r="K473" s="12"/>
      <c r="L473" s="5"/>
      <c r="M473" s="12"/>
    </row>
    <row r="474" spans="7:13" x14ac:dyDescent="0.25">
      <c r="G474" s="9"/>
      <c r="H474" s="9"/>
      <c r="I474" s="15"/>
      <c r="J474" s="12"/>
      <c r="K474" s="12"/>
      <c r="L474" s="5"/>
      <c r="M474" s="12"/>
    </row>
    <row r="475" spans="7:13" x14ac:dyDescent="0.25">
      <c r="G475" s="9"/>
      <c r="H475" s="9"/>
      <c r="I475" s="15"/>
      <c r="J475" s="12"/>
      <c r="K475" s="12"/>
      <c r="L475" s="5"/>
      <c r="M475" s="12"/>
    </row>
    <row r="476" spans="7:13" x14ac:dyDescent="0.25">
      <c r="G476" s="9"/>
      <c r="H476" s="9"/>
      <c r="I476" s="15"/>
      <c r="J476" s="12"/>
      <c r="K476" s="12"/>
      <c r="L476" s="5"/>
      <c r="M476" s="12"/>
    </row>
    <row r="477" spans="7:13" x14ac:dyDescent="0.25">
      <c r="G477" s="9"/>
      <c r="H477" s="9"/>
      <c r="I477" s="15"/>
      <c r="J477" s="12"/>
      <c r="K477" s="12"/>
      <c r="L477" s="5"/>
      <c r="M477" s="12"/>
    </row>
    <row r="478" spans="7:13" x14ac:dyDescent="0.25">
      <c r="G478" s="9"/>
      <c r="H478" s="9"/>
      <c r="I478" s="15"/>
      <c r="J478" s="12"/>
      <c r="K478" s="12"/>
      <c r="L478" s="5"/>
      <c r="M478" s="12"/>
    </row>
    <row r="479" spans="7:13" x14ac:dyDescent="0.25">
      <c r="G479" s="9"/>
      <c r="H479" s="9"/>
      <c r="I479" s="15"/>
      <c r="J479" s="12"/>
      <c r="K479" s="12"/>
      <c r="L479" s="5"/>
      <c r="M479" s="12"/>
    </row>
    <row r="480" spans="7:13" x14ac:dyDescent="0.25">
      <c r="G480" s="9"/>
      <c r="H480" s="9"/>
      <c r="I480" s="15"/>
      <c r="J480" s="12"/>
      <c r="K480" s="12"/>
      <c r="L480" s="5"/>
      <c r="M480" s="12"/>
    </row>
    <row r="481" spans="7:13" x14ac:dyDescent="0.25">
      <c r="G481" s="9"/>
      <c r="H481" s="9"/>
      <c r="I481" s="15"/>
      <c r="J481" s="12"/>
      <c r="K481" s="12"/>
      <c r="L481" s="5"/>
      <c r="M481" s="12"/>
    </row>
    <row r="482" spans="7:13" x14ac:dyDescent="0.25">
      <c r="G482" s="9"/>
      <c r="H482" s="9"/>
      <c r="I482" s="15"/>
      <c r="J482" s="12"/>
      <c r="K482" s="12"/>
      <c r="L482" s="5"/>
      <c r="M482" s="12"/>
    </row>
    <row r="483" spans="7:13" x14ac:dyDescent="0.25">
      <c r="G483" s="9"/>
      <c r="H483" s="9"/>
      <c r="I483" s="15"/>
      <c r="J483" s="12"/>
      <c r="K483" s="12"/>
      <c r="L483" s="5"/>
      <c r="M483" s="12"/>
    </row>
    <row r="484" spans="7:13" x14ac:dyDescent="0.25">
      <c r="G484" s="9"/>
      <c r="H484" s="9"/>
      <c r="I484" s="15"/>
      <c r="J484" s="12"/>
      <c r="K484" s="12"/>
      <c r="L484" s="5"/>
      <c r="M484" s="12"/>
    </row>
    <row r="485" spans="7:13" x14ac:dyDescent="0.25">
      <c r="G485" s="9"/>
      <c r="H485" s="9"/>
      <c r="I485" s="15"/>
      <c r="J485" s="12"/>
      <c r="K485" s="12"/>
      <c r="L485" s="5"/>
      <c r="M485" s="12"/>
    </row>
    <row r="486" spans="7:13" x14ac:dyDescent="0.25">
      <c r="G486" s="9"/>
      <c r="H486" s="9"/>
      <c r="I486" s="15"/>
      <c r="J486" s="12"/>
      <c r="K486" s="12"/>
      <c r="L486" s="5"/>
      <c r="M486" s="12"/>
    </row>
    <row r="487" spans="7:13" x14ac:dyDescent="0.25">
      <c r="G487" s="9"/>
      <c r="H487" s="9"/>
      <c r="I487" s="15"/>
      <c r="J487" s="12"/>
      <c r="K487" s="12"/>
      <c r="L487" s="5"/>
      <c r="M487" s="12"/>
    </row>
    <row r="488" spans="7:13" x14ac:dyDescent="0.25">
      <c r="G488" s="9"/>
      <c r="H488" s="9"/>
      <c r="I488" s="15"/>
      <c r="J488" s="12"/>
      <c r="K488" s="12"/>
      <c r="L488" s="5"/>
      <c r="M488" s="12"/>
    </row>
    <row r="489" spans="7:13" x14ac:dyDescent="0.25">
      <c r="G489" s="9"/>
      <c r="H489" s="9"/>
      <c r="I489" s="15"/>
      <c r="J489" s="12"/>
      <c r="K489" s="12"/>
      <c r="L489" s="5"/>
      <c r="M489" s="12"/>
    </row>
    <row r="490" spans="7:13" x14ac:dyDescent="0.25">
      <c r="G490" s="9"/>
      <c r="H490" s="9"/>
      <c r="I490" s="15"/>
      <c r="J490" s="12"/>
      <c r="K490" s="12"/>
      <c r="L490" s="5"/>
      <c r="M490" s="12"/>
    </row>
    <row r="491" spans="7:13" x14ac:dyDescent="0.25">
      <c r="G491" s="9"/>
      <c r="H491" s="9"/>
      <c r="I491" s="15"/>
      <c r="J491" s="12"/>
      <c r="K491" s="12"/>
      <c r="L491" s="5"/>
      <c r="M491" s="12"/>
    </row>
    <row r="492" spans="7:13" x14ac:dyDescent="0.25">
      <c r="G492" s="9"/>
      <c r="H492" s="9"/>
      <c r="I492" s="15"/>
      <c r="J492" s="12"/>
      <c r="K492" s="12"/>
      <c r="L492" s="5"/>
      <c r="M492" s="12"/>
    </row>
    <row r="493" spans="7:13" x14ac:dyDescent="0.25">
      <c r="G493" s="9"/>
      <c r="H493" s="9"/>
      <c r="I493" s="15"/>
      <c r="J493" s="12"/>
      <c r="K493" s="12"/>
      <c r="L493" s="5"/>
      <c r="M493" s="12"/>
    </row>
    <row r="494" spans="7:13" x14ac:dyDescent="0.25">
      <c r="G494" s="9"/>
      <c r="H494" s="9"/>
      <c r="I494" s="15"/>
      <c r="J494" s="12"/>
      <c r="K494" s="12"/>
      <c r="L494" s="5"/>
      <c r="M494" s="12"/>
    </row>
    <row r="495" spans="7:13" x14ac:dyDescent="0.25">
      <c r="G495" s="9"/>
      <c r="H495" s="9"/>
      <c r="I495" s="15"/>
      <c r="J495" s="12"/>
      <c r="K495" s="12"/>
      <c r="L495" s="5"/>
      <c r="M495" s="12"/>
    </row>
    <row r="496" spans="7:13" x14ac:dyDescent="0.25">
      <c r="G496" s="9"/>
      <c r="H496" s="9"/>
      <c r="I496" s="15"/>
      <c r="J496" s="12"/>
      <c r="K496" s="12"/>
      <c r="L496" s="5"/>
      <c r="M496" s="12"/>
    </row>
    <row r="497" spans="7:13" x14ac:dyDescent="0.25">
      <c r="G497" s="9"/>
      <c r="H497" s="9"/>
      <c r="I497" s="15"/>
      <c r="J497" s="12"/>
      <c r="K497" s="12"/>
      <c r="L497" s="5"/>
      <c r="M497" s="12"/>
    </row>
    <row r="498" spans="7:13" x14ac:dyDescent="0.25">
      <c r="G498" s="9"/>
      <c r="H498" s="9"/>
      <c r="I498" s="15"/>
      <c r="J498" s="12"/>
      <c r="K498" s="12"/>
      <c r="L498" s="5"/>
      <c r="M498" s="12"/>
    </row>
    <row r="499" spans="7:13" x14ac:dyDescent="0.25">
      <c r="G499" s="9"/>
      <c r="H499" s="9"/>
      <c r="I499" s="15"/>
      <c r="J499" s="12"/>
      <c r="K499" s="12"/>
      <c r="L499" s="5"/>
      <c r="M499" s="12"/>
    </row>
    <row r="500" spans="7:13" x14ac:dyDescent="0.25">
      <c r="G500" s="9"/>
      <c r="H500" s="9"/>
      <c r="I500" s="15"/>
      <c r="J500" s="12"/>
      <c r="K500" s="12"/>
      <c r="L500" s="5"/>
      <c r="M500" s="12"/>
    </row>
    <row r="501" spans="7:13" x14ac:dyDescent="0.25">
      <c r="G501" s="9"/>
      <c r="H501" s="9"/>
      <c r="I501" s="15"/>
      <c r="J501" s="12"/>
      <c r="K501" s="12"/>
      <c r="L501" s="5"/>
      <c r="M501" s="12"/>
    </row>
    <row r="502" spans="7:13" x14ac:dyDescent="0.25">
      <c r="G502" s="9"/>
      <c r="H502" s="9"/>
      <c r="I502" s="15"/>
      <c r="J502" s="12"/>
      <c r="K502" s="12"/>
      <c r="L502" s="5"/>
      <c r="M502" s="12"/>
    </row>
    <row r="503" spans="7:13" x14ac:dyDescent="0.25">
      <c r="G503" s="9"/>
      <c r="H503" s="9"/>
      <c r="I503" s="15"/>
      <c r="J503" s="12"/>
      <c r="K503" s="12"/>
      <c r="L503" s="5"/>
      <c r="M503" s="12"/>
    </row>
    <row r="504" spans="7:13" x14ac:dyDescent="0.25">
      <c r="G504" s="9"/>
      <c r="H504" s="9"/>
      <c r="I504" s="15"/>
      <c r="J504" s="12"/>
      <c r="K504" s="12"/>
      <c r="L504" s="5"/>
      <c r="M504" s="12"/>
    </row>
    <row r="505" spans="7:13" x14ac:dyDescent="0.25">
      <c r="G505" s="9"/>
      <c r="H505" s="9"/>
      <c r="I505" s="15"/>
      <c r="J505" s="12"/>
      <c r="K505" s="12"/>
      <c r="L505" s="5"/>
      <c r="M505" s="12"/>
    </row>
    <row r="506" spans="7:13" x14ac:dyDescent="0.25">
      <c r="G506" s="9"/>
      <c r="H506" s="9"/>
      <c r="I506" s="15"/>
      <c r="J506" s="12"/>
      <c r="K506" s="12"/>
      <c r="L506" s="5"/>
      <c r="M506" s="12"/>
    </row>
    <row r="507" spans="7:13" x14ac:dyDescent="0.25">
      <c r="G507" s="9"/>
      <c r="H507" s="9"/>
      <c r="I507" s="15"/>
      <c r="J507" s="12"/>
      <c r="K507" s="12"/>
      <c r="L507" s="5"/>
      <c r="M507" s="12"/>
    </row>
    <row r="508" spans="7:13" x14ac:dyDescent="0.25">
      <c r="G508" s="9"/>
      <c r="H508" s="9"/>
      <c r="I508" s="15"/>
      <c r="J508" s="12"/>
      <c r="K508" s="12"/>
      <c r="L508" s="5"/>
      <c r="M508" s="12"/>
    </row>
    <row r="509" spans="7:13" x14ac:dyDescent="0.25">
      <c r="G509" s="9"/>
      <c r="H509" s="9"/>
      <c r="I509" s="15"/>
      <c r="J509" s="12"/>
      <c r="K509" s="12"/>
      <c r="L509" s="5"/>
      <c r="M509" s="12"/>
    </row>
    <row r="510" spans="7:13" x14ac:dyDescent="0.25">
      <c r="G510" s="9"/>
      <c r="H510" s="9"/>
      <c r="I510" s="15"/>
      <c r="J510" s="12"/>
      <c r="K510" s="12"/>
      <c r="L510" s="5"/>
      <c r="M510" s="12"/>
    </row>
    <row r="511" spans="7:13" x14ac:dyDescent="0.25">
      <c r="G511" s="9"/>
      <c r="H511" s="9"/>
      <c r="I511" s="15"/>
      <c r="J511" s="12"/>
      <c r="K511" s="12"/>
      <c r="L511" s="5"/>
      <c r="M511" s="12"/>
    </row>
    <row r="512" spans="7:13" x14ac:dyDescent="0.25">
      <c r="G512" s="9"/>
      <c r="H512" s="9"/>
      <c r="I512" s="15"/>
      <c r="J512" s="12"/>
      <c r="K512" s="12"/>
      <c r="L512" s="5"/>
      <c r="M512" s="12"/>
    </row>
    <row r="513" spans="7:13" x14ac:dyDescent="0.25">
      <c r="G513" s="9"/>
      <c r="H513" s="9"/>
      <c r="I513" s="15"/>
      <c r="J513" s="12"/>
      <c r="K513" s="12"/>
      <c r="L513" s="5"/>
      <c r="M513" s="12"/>
    </row>
    <row r="514" spans="7:13" x14ac:dyDescent="0.25">
      <c r="G514" s="9"/>
      <c r="H514" s="9"/>
      <c r="I514" s="15"/>
      <c r="J514" s="12"/>
      <c r="K514" s="12"/>
      <c r="L514" s="5"/>
      <c r="M514" s="12"/>
    </row>
    <row r="515" spans="7:13" x14ac:dyDescent="0.25">
      <c r="G515" s="9"/>
      <c r="H515" s="9"/>
      <c r="I515" s="15"/>
      <c r="J515" s="12"/>
      <c r="K515" s="12"/>
      <c r="L515" s="5"/>
      <c r="M515" s="12"/>
    </row>
    <row r="516" spans="7:13" x14ac:dyDescent="0.25">
      <c r="G516" s="9"/>
      <c r="H516" s="9"/>
      <c r="I516" s="15"/>
      <c r="J516" s="12"/>
      <c r="K516" s="12"/>
      <c r="L516" s="5"/>
      <c r="M516" s="12"/>
    </row>
    <row r="517" spans="7:13" x14ac:dyDescent="0.25">
      <c r="G517" s="9"/>
      <c r="H517" s="9"/>
      <c r="I517" s="15"/>
      <c r="J517" s="12"/>
      <c r="K517" s="12"/>
      <c r="L517" s="5"/>
      <c r="M517" s="12"/>
    </row>
    <row r="518" spans="7:13" x14ac:dyDescent="0.25">
      <c r="G518" s="9"/>
      <c r="H518" s="9"/>
      <c r="I518" s="15"/>
      <c r="J518" s="12"/>
      <c r="K518" s="12"/>
      <c r="L518" s="5"/>
      <c r="M518" s="12"/>
    </row>
    <row r="519" spans="7:13" x14ac:dyDescent="0.25">
      <c r="G519" s="9"/>
      <c r="H519" s="9"/>
      <c r="I519" s="15"/>
      <c r="J519" s="12"/>
      <c r="K519" s="12"/>
      <c r="L519" s="5"/>
      <c r="M519" s="12"/>
    </row>
    <row r="520" spans="7:13" x14ac:dyDescent="0.25">
      <c r="G520" s="9"/>
      <c r="H520" s="9"/>
      <c r="I520" s="15"/>
      <c r="J520" s="12"/>
      <c r="K520" s="12"/>
      <c r="L520" s="5"/>
      <c r="M520" s="12"/>
    </row>
    <row r="521" spans="7:13" x14ac:dyDescent="0.25">
      <c r="G521" s="9"/>
      <c r="H521" s="9"/>
      <c r="I521" s="15"/>
      <c r="J521" s="12"/>
      <c r="K521" s="12"/>
      <c r="L521" s="5"/>
      <c r="M521" s="12"/>
    </row>
    <row r="522" spans="7:13" x14ac:dyDescent="0.25">
      <c r="G522" s="9"/>
      <c r="H522" s="9"/>
      <c r="I522" s="15"/>
      <c r="J522" s="12"/>
      <c r="K522" s="12"/>
      <c r="L522" s="5"/>
      <c r="M522" s="12"/>
    </row>
    <row r="523" spans="7:13" x14ac:dyDescent="0.25">
      <c r="G523" s="9"/>
      <c r="H523" s="9"/>
      <c r="I523" s="15"/>
      <c r="J523" s="12"/>
      <c r="K523" s="12"/>
      <c r="L523" s="5"/>
      <c r="M523" s="12"/>
    </row>
    <row r="524" spans="7:13" x14ac:dyDescent="0.25">
      <c r="G524" s="9"/>
      <c r="H524" s="9"/>
      <c r="I524" s="15"/>
      <c r="J524" s="12"/>
      <c r="K524" s="12"/>
      <c r="L524" s="5"/>
      <c r="M524" s="12"/>
    </row>
    <row r="525" spans="7:13" x14ac:dyDescent="0.25">
      <c r="G525" s="9"/>
      <c r="H525" s="9"/>
      <c r="I525" s="15"/>
      <c r="J525" s="12"/>
      <c r="K525" s="12"/>
      <c r="L525" s="5"/>
      <c r="M525" s="12"/>
    </row>
    <row r="526" spans="7:13" x14ac:dyDescent="0.25">
      <c r="G526" s="9"/>
      <c r="H526" s="9"/>
      <c r="I526" s="15"/>
      <c r="J526" s="12"/>
      <c r="K526" s="12"/>
      <c r="L526" s="5"/>
      <c r="M526" s="12"/>
    </row>
    <row r="527" spans="7:13" x14ac:dyDescent="0.25">
      <c r="G527" s="9"/>
      <c r="H527" s="9"/>
      <c r="I527" s="15"/>
      <c r="J527" s="12"/>
      <c r="K527" s="12"/>
      <c r="L527" s="5"/>
      <c r="M527" s="12"/>
    </row>
    <row r="528" spans="7:13" x14ac:dyDescent="0.25">
      <c r="G528" s="9"/>
      <c r="H528" s="9"/>
      <c r="I528" s="15"/>
      <c r="J528" s="12"/>
      <c r="K528" s="12"/>
      <c r="L528" s="5"/>
      <c r="M528" s="12"/>
    </row>
    <row r="529" spans="7:13" x14ac:dyDescent="0.25">
      <c r="G529" s="9"/>
      <c r="H529" s="9"/>
      <c r="I529" s="15"/>
      <c r="J529" s="12"/>
      <c r="K529" s="12"/>
      <c r="L529" s="5"/>
      <c r="M529" s="12"/>
    </row>
    <row r="530" spans="7:13" x14ac:dyDescent="0.25">
      <c r="G530" s="9"/>
      <c r="H530" s="9"/>
      <c r="I530" s="15"/>
      <c r="J530" s="12"/>
      <c r="K530" s="12"/>
      <c r="L530" s="5"/>
      <c r="M530" s="12"/>
    </row>
    <row r="531" spans="7:13" x14ac:dyDescent="0.25">
      <c r="G531" s="9"/>
      <c r="H531" s="9"/>
      <c r="I531" s="15"/>
      <c r="J531" s="12"/>
      <c r="K531" s="12"/>
      <c r="L531" s="5"/>
      <c r="M531" s="12"/>
    </row>
    <row r="532" spans="7:13" x14ac:dyDescent="0.25">
      <c r="G532" s="9"/>
      <c r="H532" s="9"/>
      <c r="I532" s="15"/>
      <c r="J532" s="12"/>
      <c r="K532" s="12"/>
      <c r="L532" s="5"/>
      <c r="M532" s="12"/>
    </row>
    <row r="533" spans="7:13" x14ac:dyDescent="0.25">
      <c r="G533" s="9"/>
      <c r="H533" s="9"/>
      <c r="I533" s="15"/>
      <c r="J533" s="12"/>
      <c r="K533" s="12"/>
      <c r="L533" s="5"/>
      <c r="M533" s="12"/>
    </row>
    <row r="534" spans="7:13" x14ac:dyDescent="0.25">
      <c r="G534" s="9"/>
      <c r="H534" s="9"/>
      <c r="I534" s="15"/>
      <c r="J534" s="12"/>
      <c r="K534" s="12"/>
      <c r="L534" s="5"/>
      <c r="M534" s="12"/>
    </row>
    <row r="535" spans="7:13" x14ac:dyDescent="0.25">
      <c r="G535" s="9"/>
      <c r="H535" s="9"/>
      <c r="I535" s="15"/>
      <c r="J535" s="12"/>
      <c r="K535" s="12"/>
      <c r="L535" s="5"/>
      <c r="M535" s="12"/>
    </row>
    <row r="536" spans="7:13" x14ac:dyDescent="0.25">
      <c r="G536" s="9"/>
      <c r="H536" s="9"/>
      <c r="I536" s="15"/>
      <c r="J536" s="12"/>
      <c r="K536" s="12"/>
      <c r="L536" s="5"/>
      <c r="M536" s="12"/>
    </row>
    <row r="537" spans="7:13" x14ac:dyDescent="0.25">
      <c r="G537" s="9"/>
      <c r="H537" s="9"/>
      <c r="I537" s="15"/>
      <c r="J537" s="12"/>
      <c r="K537" s="12"/>
      <c r="L537" s="5"/>
      <c r="M537" s="12"/>
    </row>
    <row r="538" spans="7:13" x14ac:dyDescent="0.25">
      <c r="G538" s="9"/>
      <c r="H538" s="9"/>
      <c r="I538" s="15"/>
      <c r="J538" s="12"/>
      <c r="K538" s="12"/>
      <c r="L538" s="5"/>
      <c r="M538" s="12"/>
    </row>
    <row r="539" spans="7:13" x14ac:dyDescent="0.25">
      <c r="G539" s="9"/>
      <c r="H539" s="9"/>
      <c r="I539" s="15"/>
      <c r="J539" s="12"/>
      <c r="K539" s="12"/>
      <c r="L539" s="5"/>
      <c r="M539" s="12"/>
    </row>
    <row r="540" spans="7:13" x14ac:dyDescent="0.25">
      <c r="G540" s="9"/>
      <c r="H540" s="9"/>
      <c r="I540" s="15"/>
      <c r="J540" s="12"/>
      <c r="K540" s="12"/>
      <c r="L540" s="5"/>
      <c r="M540" s="12"/>
    </row>
    <row r="541" spans="7:13" x14ac:dyDescent="0.25">
      <c r="G541" s="9"/>
      <c r="H541" s="9"/>
      <c r="I541" s="15"/>
      <c r="J541" s="12"/>
      <c r="K541" s="12"/>
      <c r="L541" s="5"/>
      <c r="M541" s="12"/>
    </row>
    <row r="542" spans="7:13" x14ac:dyDescent="0.25">
      <c r="G542" s="9"/>
      <c r="H542" s="9"/>
      <c r="I542" s="15"/>
      <c r="J542" s="12"/>
      <c r="K542" s="12"/>
      <c r="L542" s="5"/>
      <c r="M542" s="12"/>
    </row>
    <row r="543" spans="7:13" x14ac:dyDescent="0.25">
      <c r="G543" s="9"/>
      <c r="H543" s="9"/>
      <c r="I543" s="15"/>
      <c r="J543" s="12"/>
      <c r="K543" s="12"/>
      <c r="L543" s="5"/>
      <c r="M543" s="12"/>
    </row>
    <row r="544" spans="7:13" x14ac:dyDescent="0.25">
      <c r="G544" s="9"/>
      <c r="H544" s="9"/>
      <c r="I544" s="15"/>
      <c r="J544" s="12"/>
      <c r="K544" s="12"/>
      <c r="L544" s="5"/>
      <c r="M544" s="12"/>
    </row>
    <row r="545" spans="7:13" x14ac:dyDescent="0.25">
      <c r="G545" s="9"/>
      <c r="H545" s="9"/>
      <c r="I545" s="15"/>
      <c r="J545" s="12"/>
      <c r="K545" s="12"/>
      <c r="L545" s="5"/>
      <c r="M545" s="12"/>
    </row>
    <row r="546" spans="7:13" x14ac:dyDescent="0.25">
      <c r="G546" s="9"/>
      <c r="H546" s="9"/>
      <c r="I546" s="15"/>
      <c r="J546" s="12"/>
      <c r="K546" s="12"/>
      <c r="L546" s="5"/>
      <c r="M546" s="12"/>
    </row>
    <row r="547" spans="7:13" x14ac:dyDescent="0.25">
      <c r="G547" s="9"/>
      <c r="H547" s="9"/>
      <c r="I547" s="15"/>
      <c r="J547" s="12"/>
      <c r="K547" s="12"/>
      <c r="L547" s="5"/>
      <c r="M547" s="12"/>
    </row>
    <row r="548" spans="7:13" x14ac:dyDescent="0.25">
      <c r="G548" s="9"/>
      <c r="H548" s="9"/>
      <c r="I548" s="15"/>
      <c r="J548" s="12"/>
      <c r="K548" s="12"/>
      <c r="L548" s="5"/>
      <c r="M548" s="12"/>
    </row>
    <row r="549" spans="7:13" x14ac:dyDescent="0.25">
      <c r="G549" s="9"/>
      <c r="H549" s="9"/>
      <c r="I549" s="15"/>
      <c r="J549" s="12"/>
      <c r="K549" s="12"/>
      <c r="L549" s="5"/>
      <c r="M549" s="12"/>
    </row>
    <row r="550" spans="7:13" x14ac:dyDescent="0.25">
      <c r="G550" s="9"/>
      <c r="H550" s="9"/>
      <c r="I550" s="15"/>
      <c r="J550" s="12"/>
      <c r="K550" s="12"/>
      <c r="L550" s="5"/>
      <c r="M550" s="12"/>
    </row>
    <row r="551" spans="7:13" x14ac:dyDescent="0.25">
      <c r="G551" s="9"/>
      <c r="H551" s="9"/>
      <c r="I551" s="15"/>
      <c r="J551" s="12"/>
      <c r="K551" s="12"/>
      <c r="L551" s="5"/>
      <c r="M551" s="12"/>
    </row>
    <row r="552" spans="7:13" x14ac:dyDescent="0.25">
      <c r="G552" s="9"/>
      <c r="H552" s="9"/>
      <c r="I552" s="15"/>
      <c r="J552" s="12"/>
      <c r="K552" s="12"/>
      <c r="L552" s="5"/>
      <c r="M552" s="12"/>
    </row>
    <row r="553" spans="7:13" x14ac:dyDescent="0.25">
      <c r="G553" s="9"/>
      <c r="H553" s="9"/>
      <c r="I553" s="15"/>
      <c r="J553" s="12"/>
      <c r="K553" s="12"/>
      <c r="L553" s="5"/>
      <c r="M553" s="12"/>
    </row>
    <row r="554" spans="7:13" x14ac:dyDescent="0.25">
      <c r="G554" s="9"/>
      <c r="H554" s="9"/>
      <c r="I554" s="15"/>
      <c r="J554" s="12"/>
      <c r="K554" s="12"/>
      <c r="L554" s="5"/>
      <c r="M554" s="12"/>
    </row>
    <row r="555" spans="7:13" x14ac:dyDescent="0.25">
      <c r="G555" s="9"/>
      <c r="H555" s="9"/>
      <c r="I555" s="15"/>
      <c r="J555" s="12"/>
      <c r="K555" s="12"/>
      <c r="L555" s="5"/>
      <c r="M555" s="12"/>
    </row>
    <row r="556" spans="7:13" x14ac:dyDescent="0.25">
      <c r="G556" s="9"/>
      <c r="H556" s="9"/>
      <c r="I556" s="15"/>
      <c r="J556" s="12"/>
      <c r="K556" s="12"/>
      <c r="L556" s="5"/>
      <c r="M556" s="12"/>
    </row>
    <row r="557" spans="7:13" x14ac:dyDescent="0.25">
      <c r="G557" s="9"/>
      <c r="H557" s="9"/>
      <c r="I557" s="15"/>
      <c r="J557" s="12"/>
      <c r="K557" s="12"/>
      <c r="L557" s="5"/>
      <c r="M557" s="12"/>
    </row>
    <row r="558" spans="7:13" x14ac:dyDescent="0.25">
      <c r="G558" s="9"/>
      <c r="H558" s="9"/>
      <c r="I558" s="15"/>
      <c r="J558" s="12"/>
      <c r="K558" s="12"/>
      <c r="L558" s="5"/>
      <c r="M558" s="12"/>
    </row>
    <row r="559" spans="7:13" x14ac:dyDescent="0.25">
      <c r="G559" s="9"/>
      <c r="H559" s="9"/>
      <c r="I559" s="15"/>
      <c r="J559" s="12"/>
      <c r="K559" s="12"/>
      <c r="L559" s="5"/>
      <c r="M559" s="12"/>
    </row>
    <row r="560" spans="7:13" x14ac:dyDescent="0.25">
      <c r="G560" s="9"/>
      <c r="H560" s="9"/>
      <c r="I560" s="15"/>
      <c r="J560" s="12"/>
      <c r="K560" s="12"/>
      <c r="L560" s="5"/>
      <c r="M560" s="12"/>
    </row>
    <row r="561" spans="7:13" x14ac:dyDescent="0.25">
      <c r="G561" s="9"/>
      <c r="H561" s="9"/>
      <c r="I561" s="15"/>
      <c r="J561" s="12"/>
      <c r="K561" s="12"/>
      <c r="L561" s="5"/>
      <c r="M561" s="12"/>
    </row>
    <row r="562" spans="7:13" x14ac:dyDescent="0.25">
      <c r="G562" s="9"/>
      <c r="H562" s="9"/>
      <c r="I562" s="15"/>
      <c r="J562" s="12"/>
      <c r="K562" s="12"/>
      <c r="L562" s="5"/>
      <c r="M562" s="12"/>
    </row>
    <row r="563" spans="7:13" x14ac:dyDescent="0.25">
      <c r="G563" s="9"/>
      <c r="H563" s="9"/>
      <c r="I563" s="15"/>
      <c r="J563" s="12"/>
      <c r="K563" s="12"/>
      <c r="L563" s="5"/>
      <c r="M563" s="12"/>
    </row>
    <row r="564" spans="7:13" x14ac:dyDescent="0.25">
      <c r="G564" s="9"/>
      <c r="H564" s="9"/>
      <c r="I564" s="15"/>
      <c r="J564" s="12"/>
      <c r="K564" s="12"/>
      <c r="L564" s="5"/>
      <c r="M564" s="12"/>
    </row>
    <row r="565" spans="7:13" x14ac:dyDescent="0.25">
      <c r="G565" s="9"/>
      <c r="H565" s="9"/>
      <c r="I565" s="15"/>
      <c r="J565" s="12"/>
      <c r="K565" s="12"/>
      <c r="L565" s="5"/>
      <c r="M565" s="12"/>
    </row>
    <row r="566" spans="7:13" x14ac:dyDescent="0.25">
      <c r="G566" s="9"/>
      <c r="H566" s="9"/>
      <c r="I566" s="15"/>
      <c r="J566" s="12"/>
      <c r="K566" s="12"/>
      <c r="L566" s="5"/>
      <c r="M566" s="12"/>
    </row>
    <row r="567" spans="7:13" x14ac:dyDescent="0.25">
      <c r="G567" s="9"/>
      <c r="H567" s="9"/>
      <c r="I567" s="15"/>
      <c r="J567" s="12"/>
      <c r="K567" s="12"/>
      <c r="L567" s="5"/>
      <c r="M567" s="12"/>
    </row>
    <row r="568" spans="7:13" x14ac:dyDescent="0.25">
      <c r="G568" s="9"/>
      <c r="H568" s="9"/>
      <c r="I568" s="15"/>
      <c r="J568" s="12"/>
      <c r="K568" s="12"/>
      <c r="L568" s="5"/>
      <c r="M568" s="12"/>
    </row>
    <row r="569" spans="7:13" x14ac:dyDescent="0.25">
      <c r="G569" s="9"/>
      <c r="H569" s="9"/>
      <c r="I569" s="15"/>
      <c r="J569" s="12"/>
      <c r="K569" s="12"/>
      <c r="L569" s="5"/>
      <c r="M569" s="12"/>
    </row>
    <row r="570" spans="7:13" x14ac:dyDescent="0.25">
      <c r="G570" s="9"/>
      <c r="H570" s="9"/>
      <c r="I570" s="15"/>
      <c r="J570" s="12"/>
      <c r="K570" s="12"/>
      <c r="L570" s="5"/>
      <c r="M570" s="12"/>
    </row>
    <row r="571" spans="7:13" x14ac:dyDescent="0.25">
      <c r="G571" s="9"/>
      <c r="H571" s="9"/>
      <c r="I571" s="15"/>
      <c r="J571" s="12"/>
      <c r="K571" s="12"/>
      <c r="L571" s="5"/>
      <c r="M571" s="12"/>
    </row>
    <row r="572" spans="7:13" x14ac:dyDescent="0.25">
      <c r="G572" s="9"/>
      <c r="H572" s="9"/>
      <c r="I572" s="15"/>
      <c r="J572" s="12"/>
      <c r="K572" s="12"/>
      <c r="L572" s="5"/>
      <c r="M572" s="12"/>
    </row>
    <row r="573" spans="7:13" x14ac:dyDescent="0.25">
      <c r="G573" s="9"/>
      <c r="H573" s="9"/>
      <c r="I573" s="15"/>
      <c r="J573" s="12"/>
      <c r="K573" s="12"/>
      <c r="L573" s="5"/>
      <c r="M573" s="12"/>
    </row>
    <row r="574" spans="7:13" x14ac:dyDescent="0.25">
      <c r="G574" s="9"/>
      <c r="H574" s="9"/>
      <c r="I574" s="15"/>
      <c r="J574" s="12"/>
      <c r="K574" s="12"/>
      <c r="L574" s="5"/>
      <c r="M574" s="12"/>
    </row>
    <row r="575" spans="7:13" x14ac:dyDescent="0.25">
      <c r="G575" s="9"/>
      <c r="H575" s="9"/>
      <c r="I575" s="15"/>
      <c r="J575" s="12"/>
      <c r="K575" s="12"/>
      <c r="L575" s="5"/>
      <c r="M575" s="12"/>
    </row>
    <row r="576" spans="7:13" x14ac:dyDescent="0.25">
      <c r="G576" s="9"/>
      <c r="H576" s="9"/>
      <c r="I576" s="15"/>
      <c r="J576" s="12"/>
      <c r="K576" s="12"/>
      <c r="L576" s="5"/>
      <c r="M576" s="12"/>
    </row>
    <row r="577" spans="7:13" x14ac:dyDescent="0.25">
      <c r="G577" s="9"/>
      <c r="H577" s="9"/>
      <c r="I577" s="15"/>
      <c r="J577" s="12"/>
      <c r="K577" s="12"/>
      <c r="L577" s="5"/>
      <c r="M577" s="12"/>
    </row>
    <row r="578" spans="7:13" x14ac:dyDescent="0.25">
      <c r="G578" s="9"/>
      <c r="H578" s="9"/>
      <c r="I578" s="15"/>
      <c r="J578" s="12"/>
      <c r="K578" s="12"/>
      <c r="L578" s="5"/>
      <c r="M578" s="12"/>
    </row>
    <row r="579" spans="7:13" x14ac:dyDescent="0.25">
      <c r="G579" s="9"/>
      <c r="H579" s="9"/>
      <c r="I579" s="15"/>
      <c r="J579" s="12"/>
      <c r="K579" s="12"/>
      <c r="L579" s="5"/>
      <c r="M579" s="12"/>
    </row>
    <row r="580" spans="7:13" x14ac:dyDescent="0.25">
      <c r="G580" s="9"/>
      <c r="H580" s="9"/>
      <c r="I580" s="15"/>
      <c r="J580" s="12"/>
      <c r="K580" s="12"/>
      <c r="L580" s="5"/>
      <c r="M580" s="12"/>
    </row>
    <row r="581" spans="7:13" x14ac:dyDescent="0.25">
      <c r="G581" s="9"/>
      <c r="H581" s="9"/>
      <c r="I581" s="15"/>
      <c r="J581" s="12"/>
      <c r="K581" s="12"/>
      <c r="L581" s="5"/>
      <c r="M581" s="12"/>
    </row>
    <row r="582" spans="7:13" x14ac:dyDescent="0.25">
      <c r="G582" s="9"/>
      <c r="H582" s="9"/>
      <c r="I582" s="15"/>
      <c r="J582" s="12"/>
      <c r="K582" s="12"/>
      <c r="L582" s="5"/>
      <c r="M582" s="12"/>
    </row>
    <row r="583" spans="7:13" x14ac:dyDescent="0.25">
      <c r="G583" s="9"/>
      <c r="H583" s="9"/>
      <c r="I583" s="15"/>
      <c r="J583" s="12"/>
      <c r="K583" s="12"/>
      <c r="L583" s="5"/>
      <c r="M583" s="12"/>
    </row>
    <row r="584" spans="7:13" x14ac:dyDescent="0.25">
      <c r="G584" s="9"/>
      <c r="H584" s="9"/>
      <c r="I584" s="15"/>
      <c r="J584" s="12"/>
      <c r="K584" s="12"/>
      <c r="L584" s="5"/>
      <c r="M584" s="12"/>
    </row>
    <row r="585" spans="7:13" x14ac:dyDescent="0.25">
      <c r="G585" s="9"/>
      <c r="H585" s="9"/>
      <c r="I585" s="15"/>
      <c r="J585" s="12"/>
      <c r="K585" s="12"/>
      <c r="L585" s="5"/>
      <c r="M585" s="12"/>
    </row>
    <row r="586" spans="7:13" x14ac:dyDescent="0.25">
      <c r="G586" s="9"/>
      <c r="H586" s="9"/>
      <c r="I586" s="15"/>
      <c r="J586" s="12"/>
      <c r="K586" s="12"/>
      <c r="L586" s="5"/>
      <c r="M586" s="12"/>
    </row>
    <row r="587" spans="7:13" x14ac:dyDescent="0.25">
      <c r="G587" s="9"/>
      <c r="H587" s="9"/>
      <c r="I587" s="15"/>
      <c r="J587" s="12"/>
      <c r="K587" s="12"/>
      <c r="L587" s="5"/>
      <c r="M587" s="12"/>
    </row>
    <row r="588" spans="7:13" x14ac:dyDescent="0.25">
      <c r="G588" s="9"/>
      <c r="H588" s="9"/>
      <c r="I588" s="15"/>
      <c r="J588" s="12"/>
      <c r="K588" s="12"/>
      <c r="L588" s="5"/>
      <c r="M588" s="12"/>
    </row>
    <row r="589" spans="7:13" x14ac:dyDescent="0.25">
      <c r="G589" s="9"/>
      <c r="H589" s="9"/>
      <c r="I589" s="15"/>
      <c r="J589" s="12"/>
      <c r="K589" s="12"/>
      <c r="L589" s="5"/>
      <c r="M589" s="12"/>
    </row>
    <row r="590" spans="7:13" x14ac:dyDescent="0.25">
      <c r="G590" s="9"/>
      <c r="H590" s="9"/>
      <c r="I590" s="15"/>
      <c r="J590" s="12"/>
      <c r="K590" s="12"/>
      <c r="L590" s="5"/>
      <c r="M590" s="12"/>
    </row>
    <row r="591" spans="7:13" x14ac:dyDescent="0.25">
      <c r="G591" s="9"/>
      <c r="H591" s="9"/>
      <c r="I591" s="15"/>
      <c r="J591" s="12"/>
      <c r="K591" s="12"/>
      <c r="L591" s="5"/>
      <c r="M591" s="12"/>
    </row>
    <row r="592" spans="7:13" x14ac:dyDescent="0.25">
      <c r="G592" s="9"/>
      <c r="H592" s="9"/>
      <c r="I592" s="15"/>
      <c r="J592" s="12"/>
      <c r="K592" s="12"/>
      <c r="L592" s="5"/>
      <c r="M592" s="12"/>
    </row>
    <row r="593" spans="7:13" x14ac:dyDescent="0.25">
      <c r="G593" s="9"/>
      <c r="H593" s="9"/>
      <c r="I593" s="15"/>
      <c r="J593" s="12"/>
      <c r="K593" s="12"/>
      <c r="L593" s="5"/>
      <c r="M593" s="12"/>
    </row>
    <row r="594" spans="7:13" x14ac:dyDescent="0.25">
      <c r="G594" s="9"/>
      <c r="H594" s="9"/>
      <c r="I594" s="15"/>
      <c r="J594" s="12"/>
      <c r="K594" s="12"/>
      <c r="L594" s="5"/>
      <c r="M594" s="12"/>
    </row>
    <row r="595" spans="7:13" x14ac:dyDescent="0.25">
      <c r="G595" s="9"/>
      <c r="H595" s="9"/>
      <c r="I595" s="15"/>
      <c r="J595" s="12"/>
      <c r="K595" s="12"/>
      <c r="L595" s="5"/>
      <c r="M595" s="12"/>
    </row>
    <row r="596" spans="7:13" x14ac:dyDescent="0.25">
      <c r="G596" s="9"/>
      <c r="H596" s="9"/>
      <c r="I596" s="15"/>
      <c r="J596" s="12"/>
      <c r="K596" s="12"/>
      <c r="L596" s="5"/>
      <c r="M596" s="12"/>
    </row>
    <row r="597" spans="7:13" x14ac:dyDescent="0.25">
      <c r="G597" s="9"/>
      <c r="H597" s="9"/>
      <c r="I597" s="15"/>
      <c r="J597" s="12"/>
      <c r="K597" s="12"/>
      <c r="L597" s="5"/>
      <c r="M597" s="12"/>
    </row>
    <row r="598" spans="7:13" x14ac:dyDescent="0.25">
      <c r="G598" s="9"/>
      <c r="H598" s="9"/>
      <c r="I598" s="15"/>
      <c r="J598" s="12"/>
      <c r="K598" s="12"/>
      <c r="L598" s="5"/>
      <c r="M598" s="12"/>
    </row>
    <row r="599" spans="7:13" x14ac:dyDescent="0.25">
      <c r="G599" s="9"/>
      <c r="H599" s="9"/>
      <c r="I599" s="15"/>
      <c r="J599" s="12"/>
      <c r="K599" s="12"/>
      <c r="L599" s="5"/>
      <c r="M599" s="12"/>
    </row>
    <row r="600" spans="7:13" x14ac:dyDescent="0.25">
      <c r="G600" s="9"/>
      <c r="H600" s="9"/>
      <c r="I600" s="15"/>
      <c r="J600" s="12"/>
      <c r="K600" s="12"/>
      <c r="L600" s="5"/>
      <c r="M600" s="12"/>
    </row>
    <row r="601" spans="7:13" x14ac:dyDescent="0.25">
      <c r="G601" s="9"/>
      <c r="H601" s="9"/>
      <c r="I601" s="15"/>
      <c r="J601" s="12"/>
      <c r="K601" s="12"/>
      <c r="L601" s="5"/>
      <c r="M601" s="12"/>
    </row>
    <row r="602" spans="7:13" x14ac:dyDescent="0.25">
      <c r="G602" s="9"/>
      <c r="H602" s="9"/>
      <c r="I602" s="15"/>
      <c r="J602" s="12"/>
      <c r="K602" s="12"/>
      <c r="L602" s="5"/>
      <c r="M602" s="12"/>
    </row>
    <row r="603" spans="7:13" x14ac:dyDescent="0.25">
      <c r="G603" s="9"/>
      <c r="H603" s="9"/>
      <c r="I603" s="15"/>
      <c r="J603" s="12"/>
      <c r="K603" s="12"/>
      <c r="L603" s="5"/>
      <c r="M603" s="12"/>
    </row>
    <row r="604" spans="7:13" x14ac:dyDescent="0.25">
      <c r="G604" s="9"/>
      <c r="H604" s="9"/>
      <c r="I604" s="15"/>
      <c r="J604" s="12"/>
      <c r="K604" s="12"/>
      <c r="L604" s="5"/>
      <c r="M604" s="12"/>
    </row>
    <row r="605" spans="7:13" x14ac:dyDescent="0.25">
      <c r="G605" s="9"/>
      <c r="H605" s="9"/>
      <c r="I605" s="15"/>
      <c r="J605" s="12"/>
      <c r="K605" s="12"/>
      <c r="L605" s="5"/>
      <c r="M605" s="12"/>
    </row>
    <row r="606" spans="7:13" x14ac:dyDescent="0.25">
      <c r="G606" s="9"/>
      <c r="H606" s="9"/>
      <c r="I606" s="15"/>
      <c r="J606" s="12"/>
      <c r="K606" s="12"/>
      <c r="L606" s="5"/>
      <c r="M606" s="12"/>
    </row>
    <row r="607" spans="7:13" x14ac:dyDescent="0.25">
      <c r="G607" s="9"/>
      <c r="H607" s="9"/>
      <c r="I607" s="15"/>
      <c r="J607" s="12"/>
      <c r="K607" s="12"/>
      <c r="L607" s="5"/>
      <c r="M607" s="12"/>
    </row>
    <row r="608" spans="7:13" x14ac:dyDescent="0.25">
      <c r="G608" s="9"/>
      <c r="H608" s="9"/>
      <c r="I608" s="15"/>
      <c r="J608" s="12"/>
      <c r="K608" s="12"/>
      <c r="L608" s="5"/>
      <c r="M608" s="12"/>
    </row>
    <row r="609" spans="7:13" x14ac:dyDescent="0.25">
      <c r="G609" s="9"/>
      <c r="H609" s="9"/>
      <c r="I609" s="15"/>
      <c r="J609" s="12"/>
      <c r="K609" s="12"/>
      <c r="L609" s="5"/>
      <c r="M609" s="12"/>
    </row>
    <row r="610" spans="7:13" x14ac:dyDescent="0.25">
      <c r="G610" s="9"/>
      <c r="H610" s="9"/>
      <c r="I610" s="15"/>
      <c r="J610" s="12"/>
      <c r="K610" s="12"/>
      <c r="L610" s="5"/>
      <c r="M610" s="12"/>
    </row>
    <row r="611" spans="7:13" x14ac:dyDescent="0.25">
      <c r="G611" s="9"/>
      <c r="H611" s="9"/>
      <c r="I611" s="15"/>
      <c r="J611" s="12"/>
      <c r="K611" s="12"/>
      <c r="L611" s="5"/>
      <c r="M611" s="12"/>
    </row>
    <row r="612" spans="7:13" x14ac:dyDescent="0.25">
      <c r="G612" s="9"/>
      <c r="H612" s="9"/>
      <c r="I612" s="15"/>
      <c r="J612" s="12"/>
      <c r="K612" s="12"/>
      <c r="L612" s="5"/>
      <c r="M612" s="12"/>
    </row>
    <row r="613" spans="7:13" x14ac:dyDescent="0.25">
      <c r="G613" s="9"/>
      <c r="H613" s="9"/>
      <c r="I613" s="15"/>
      <c r="J613" s="12"/>
      <c r="K613" s="12"/>
      <c r="L613" s="5"/>
      <c r="M613" s="12"/>
    </row>
    <row r="614" spans="7:13" x14ac:dyDescent="0.25">
      <c r="G614" s="9"/>
      <c r="H614" s="9"/>
      <c r="I614" s="15"/>
      <c r="J614" s="12"/>
      <c r="K614" s="12"/>
      <c r="L614" s="5"/>
      <c r="M614" s="12"/>
    </row>
    <row r="615" spans="7:13" x14ac:dyDescent="0.25">
      <c r="G615" s="9"/>
      <c r="H615" s="9"/>
      <c r="I615" s="15"/>
      <c r="J615" s="12"/>
      <c r="K615" s="12"/>
      <c r="L615" s="5"/>
      <c r="M615" s="12"/>
    </row>
    <row r="616" spans="7:13" x14ac:dyDescent="0.25">
      <c r="G616" s="9"/>
      <c r="H616" s="9"/>
      <c r="I616" s="15"/>
      <c r="J616" s="12"/>
      <c r="K616" s="12"/>
      <c r="L616" s="5"/>
      <c r="M616" s="12"/>
    </row>
    <row r="617" spans="7:13" x14ac:dyDescent="0.25">
      <c r="G617" s="9"/>
      <c r="H617" s="9"/>
      <c r="I617" s="15"/>
      <c r="J617" s="12"/>
      <c r="K617" s="12"/>
      <c r="L617" s="5"/>
      <c r="M617" s="12"/>
    </row>
    <row r="618" spans="7:13" x14ac:dyDescent="0.25">
      <c r="G618" s="9"/>
      <c r="H618" s="9"/>
      <c r="I618" s="15"/>
      <c r="J618" s="12"/>
      <c r="K618" s="12"/>
      <c r="L618" s="5"/>
      <c r="M618" s="12"/>
    </row>
    <row r="619" spans="7:13" x14ac:dyDescent="0.25">
      <c r="G619" s="9"/>
      <c r="H619" s="9"/>
      <c r="I619" s="15"/>
      <c r="J619" s="12"/>
      <c r="K619" s="12"/>
      <c r="L619" s="5"/>
      <c r="M619" s="12"/>
    </row>
    <row r="620" spans="7:13" x14ac:dyDescent="0.25">
      <c r="G620" s="9"/>
      <c r="H620" s="9"/>
      <c r="I620" s="15"/>
      <c r="J620" s="12"/>
      <c r="K620" s="12"/>
      <c r="L620" s="5"/>
      <c r="M620" s="12"/>
    </row>
    <row r="621" spans="7:13" x14ac:dyDescent="0.25">
      <c r="G621" s="9"/>
      <c r="H621" s="9"/>
      <c r="I621" s="15"/>
      <c r="J621" s="12"/>
      <c r="K621" s="12"/>
      <c r="L621" s="5"/>
      <c r="M621" s="12"/>
    </row>
    <row r="622" spans="7:13" x14ac:dyDescent="0.25">
      <c r="G622" s="9"/>
      <c r="H622" s="9"/>
      <c r="I622" s="15"/>
      <c r="J622" s="12"/>
      <c r="K622" s="12"/>
      <c r="L622" s="5"/>
      <c r="M622" s="12"/>
    </row>
    <row r="623" spans="7:13" x14ac:dyDescent="0.25">
      <c r="G623" s="9"/>
      <c r="H623" s="9"/>
      <c r="I623" s="15"/>
      <c r="J623" s="12"/>
      <c r="K623" s="12"/>
      <c r="L623" s="5"/>
      <c r="M623" s="12"/>
    </row>
    <row r="624" spans="7:13" x14ac:dyDescent="0.25">
      <c r="G624" s="9"/>
      <c r="H624" s="9"/>
      <c r="I624" s="15"/>
      <c r="J624" s="12"/>
      <c r="K624" s="12"/>
      <c r="L624" s="5"/>
      <c r="M624" s="12"/>
    </row>
    <row r="625" spans="7:13" x14ac:dyDescent="0.25">
      <c r="G625" s="9"/>
      <c r="H625" s="9"/>
      <c r="I625" s="15"/>
      <c r="J625" s="12"/>
      <c r="K625" s="12"/>
      <c r="L625" s="5"/>
      <c r="M625" s="12"/>
    </row>
    <row r="626" spans="7:13" x14ac:dyDescent="0.25">
      <c r="G626" s="9"/>
      <c r="H626" s="9"/>
      <c r="I626" s="15"/>
      <c r="J626" s="12"/>
      <c r="K626" s="12"/>
      <c r="L626" s="5"/>
      <c r="M626" s="12"/>
    </row>
    <row r="627" spans="7:13" x14ac:dyDescent="0.25">
      <c r="G627" s="9"/>
      <c r="H627" s="9"/>
      <c r="I627" s="15"/>
      <c r="J627" s="12"/>
      <c r="K627" s="12"/>
      <c r="L627" s="5"/>
      <c r="M627" s="12"/>
    </row>
    <row r="628" spans="7:13" x14ac:dyDescent="0.25">
      <c r="G628" s="9"/>
      <c r="H628" s="9"/>
      <c r="I628" s="15"/>
      <c r="J628" s="12"/>
      <c r="K628" s="12"/>
      <c r="L628" s="5"/>
      <c r="M628" s="12"/>
    </row>
    <row r="629" spans="7:13" x14ac:dyDescent="0.25">
      <c r="G629" s="9"/>
      <c r="H629" s="9"/>
      <c r="I629" s="15"/>
      <c r="J629" s="12"/>
      <c r="K629" s="12"/>
      <c r="L629" s="5"/>
      <c r="M629" s="12"/>
    </row>
    <row r="630" spans="7:13" x14ac:dyDescent="0.25">
      <c r="G630" s="9"/>
      <c r="H630" s="9"/>
      <c r="I630" s="15"/>
      <c r="J630" s="12"/>
      <c r="K630" s="12"/>
      <c r="L630" s="5"/>
      <c r="M630" s="12"/>
    </row>
    <row r="631" spans="7:13" x14ac:dyDescent="0.25">
      <c r="G631" s="9"/>
      <c r="H631" s="9"/>
      <c r="I631" s="15"/>
      <c r="J631" s="12"/>
      <c r="K631" s="12"/>
      <c r="L631" s="5"/>
      <c r="M631" s="12"/>
    </row>
    <row r="632" spans="7:13" x14ac:dyDescent="0.25">
      <c r="G632" s="9"/>
      <c r="H632" s="9"/>
      <c r="I632" s="15"/>
      <c r="J632" s="12"/>
      <c r="K632" s="12"/>
      <c r="L632" s="5"/>
      <c r="M632" s="12"/>
    </row>
    <row r="633" spans="7:13" x14ac:dyDescent="0.25">
      <c r="G633" s="9"/>
      <c r="H633" s="9"/>
      <c r="I633" s="15"/>
      <c r="J633" s="12"/>
      <c r="K633" s="12"/>
      <c r="L633" s="5"/>
      <c r="M633" s="12"/>
    </row>
    <row r="634" spans="7:13" x14ac:dyDescent="0.25">
      <c r="G634" s="9"/>
      <c r="H634" s="9"/>
      <c r="I634" s="15"/>
      <c r="J634" s="12"/>
      <c r="K634" s="12"/>
      <c r="L634" s="5"/>
      <c r="M634" s="12"/>
    </row>
    <row r="635" spans="7:13" x14ac:dyDescent="0.25">
      <c r="G635" s="9"/>
      <c r="H635" s="9"/>
      <c r="I635" s="15"/>
      <c r="J635" s="12"/>
      <c r="K635" s="12"/>
      <c r="L635" s="5"/>
      <c r="M635" s="12"/>
    </row>
    <row r="636" spans="7:13" x14ac:dyDescent="0.25">
      <c r="G636" s="9"/>
      <c r="H636" s="9"/>
      <c r="I636" s="15"/>
      <c r="J636" s="12"/>
      <c r="K636" s="12"/>
      <c r="L636" s="5"/>
      <c r="M636" s="12"/>
    </row>
    <row r="637" spans="7:13" x14ac:dyDescent="0.25">
      <c r="G637" s="9"/>
      <c r="H637" s="9"/>
      <c r="I637" s="15"/>
      <c r="J637" s="12"/>
      <c r="K637" s="12"/>
      <c r="L637" s="5"/>
      <c r="M637" s="12"/>
    </row>
    <row r="638" spans="7:13" x14ac:dyDescent="0.25">
      <c r="G638" s="9"/>
      <c r="H638" s="9"/>
      <c r="I638" s="15"/>
      <c r="J638" s="12"/>
      <c r="K638" s="12"/>
      <c r="L638" s="5"/>
      <c r="M638" s="12"/>
    </row>
    <row r="639" spans="7:13" x14ac:dyDescent="0.25">
      <c r="G639" s="9"/>
      <c r="H639" s="9"/>
      <c r="I639" s="15"/>
      <c r="J639" s="12"/>
      <c r="K639" s="12"/>
      <c r="L639" s="5"/>
      <c r="M639" s="12"/>
    </row>
    <row r="640" spans="7:13" x14ac:dyDescent="0.25">
      <c r="G640" s="9"/>
      <c r="H640" s="9"/>
      <c r="I640" s="15"/>
      <c r="J640" s="12"/>
      <c r="K640" s="12"/>
      <c r="L640" s="5"/>
      <c r="M640" s="12"/>
    </row>
    <row r="641" spans="7:13" x14ac:dyDescent="0.25">
      <c r="G641" s="9"/>
      <c r="H641" s="9"/>
      <c r="I641" s="15"/>
      <c r="J641" s="12"/>
      <c r="K641" s="12"/>
      <c r="L641" s="5"/>
      <c r="M641" s="12"/>
    </row>
    <row r="642" spans="7:13" x14ac:dyDescent="0.25">
      <c r="G642" s="9"/>
      <c r="H642" s="9"/>
      <c r="I642" s="15"/>
      <c r="J642" s="12"/>
      <c r="K642" s="12"/>
      <c r="L642" s="5"/>
      <c r="M642" s="12"/>
    </row>
    <row r="643" spans="7:13" x14ac:dyDescent="0.25">
      <c r="G643" s="9"/>
      <c r="H643" s="9"/>
      <c r="I643" s="15"/>
      <c r="J643" s="12"/>
      <c r="K643" s="12"/>
      <c r="L643" s="5"/>
      <c r="M643" s="12"/>
    </row>
    <row r="644" spans="7:13" x14ac:dyDescent="0.25">
      <c r="G644" s="9"/>
      <c r="H644" s="9"/>
      <c r="I644" s="15"/>
      <c r="J644" s="12"/>
      <c r="K644" s="12"/>
      <c r="L644" s="5"/>
      <c r="M644" s="12"/>
    </row>
    <row r="645" spans="7:13" x14ac:dyDescent="0.25">
      <c r="G645" s="9"/>
      <c r="H645" s="9"/>
      <c r="I645" s="15"/>
      <c r="J645" s="12"/>
      <c r="K645" s="12"/>
      <c r="L645" s="5"/>
      <c r="M645" s="12"/>
    </row>
    <row r="646" spans="7:13" x14ac:dyDescent="0.25">
      <c r="G646" s="9"/>
      <c r="H646" s="9"/>
      <c r="I646" s="15"/>
      <c r="J646" s="12"/>
      <c r="K646" s="12"/>
      <c r="L646" s="5"/>
      <c r="M646" s="12"/>
    </row>
    <row r="647" spans="7:13" x14ac:dyDescent="0.25">
      <c r="G647" s="9"/>
      <c r="H647" s="9"/>
      <c r="I647" s="15"/>
      <c r="J647" s="12"/>
      <c r="K647" s="12"/>
      <c r="L647" s="5"/>
      <c r="M647" s="12"/>
    </row>
    <row r="648" spans="7:13" x14ac:dyDescent="0.25">
      <c r="G648" s="9"/>
      <c r="H648" s="9"/>
      <c r="I648" s="15"/>
      <c r="J648" s="12"/>
      <c r="K648" s="12"/>
      <c r="L648" s="5"/>
      <c r="M648" s="12"/>
    </row>
    <row r="649" spans="7:13" x14ac:dyDescent="0.25">
      <c r="G649" s="9"/>
      <c r="H649" s="9"/>
      <c r="I649" s="15"/>
      <c r="J649" s="12"/>
      <c r="K649" s="12"/>
      <c r="L649" s="5"/>
      <c r="M649" s="12"/>
    </row>
    <row r="650" spans="7:13" x14ac:dyDescent="0.25">
      <c r="G650" s="9"/>
      <c r="H650" s="9"/>
      <c r="I650" s="15"/>
      <c r="J650" s="12"/>
      <c r="K650" s="12"/>
      <c r="L650" s="5"/>
      <c r="M650" s="12"/>
    </row>
    <row r="651" spans="7:13" x14ac:dyDescent="0.25">
      <c r="G651" s="9"/>
      <c r="H651" s="9"/>
      <c r="I651" s="15"/>
      <c r="J651" s="12"/>
      <c r="K651" s="12"/>
      <c r="L651" s="5"/>
      <c r="M651" s="12"/>
    </row>
    <row r="652" spans="7:13" x14ac:dyDescent="0.25">
      <c r="G652" s="9"/>
      <c r="H652" s="9"/>
      <c r="I652" s="15"/>
      <c r="J652" s="12"/>
      <c r="K652" s="12"/>
      <c r="L652" s="5"/>
      <c r="M652" s="12"/>
    </row>
    <row r="653" spans="7:13" x14ac:dyDescent="0.25">
      <c r="G653" s="9"/>
      <c r="H653" s="9"/>
      <c r="I653" s="15"/>
      <c r="J653" s="12"/>
      <c r="K653" s="12"/>
      <c r="L653" s="5"/>
      <c r="M653" s="12"/>
    </row>
    <row r="654" spans="7:13" x14ac:dyDescent="0.25">
      <c r="G654" s="9"/>
      <c r="H654" s="9"/>
      <c r="I654" s="15"/>
      <c r="J654" s="12"/>
      <c r="K654" s="12"/>
      <c r="L654" s="5"/>
      <c r="M654" s="12"/>
    </row>
    <row r="655" spans="7:13" x14ac:dyDescent="0.25">
      <c r="G655" s="9"/>
      <c r="H655" s="9"/>
      <c r="I655" s="15"/>
      <c r="J655" s="12"/>
      <c r="K655" s="12"/>
      <c r="L655" s="5"/>
      <c r="M655" s="12"/>
    </row>
    <row r="656" spans="7:13" x14ac:dyDescent="0.25">
      <c r="G656" s="9"/>
      <c r="H656" s="9"/>
      <c r="I656" s="15"/>
      <c r="J656" s="12"/>
      <c r="K656" s="12"/>
      <c r="L656" s="5"/>
      <c r="M656" s="12"/>
    </row>
    <row r="657" spans="7:13" x14ac:dyDescent="0.25">
      <c r="G657" s="9"/>
      <c r="H657" s="9"/>
      <c r="I657" s="15"/>
      <c r="J657" s="12"/>
      <c r="K657" s="12"/>
      <c r="L657" s="5"/>
      <c r="M657" s="12"/>
    </row>
    <row r="658" spans="7:13" x14ac:dyDescent="0.25">
      <c r="G658" s="9"/>
      <c r="H658" s="9"/>
      <c r="I658" s="15"/>
      <c r="J658" s="12"/>
      <c r="K658" s="12"/>
      <c r="L658" s="5"/>
      <c r="M658" s="12"/>
    </row>
    <row r="659" spans="7:13" x14ac:dyDescent="0.25">
      <c r="G659" s="9"/>
      <c r="H659" s="9"/>
      <c r="I659" s="15"/>
      <c r="J659" s="12"/>
      <c r="K659" s="12"/>
      <c r="L659" s="5"/>
      <c r="M659" s="12"/>
    </row>
    <row r="660" spans="7:13" x14ac:dyDescent="0.25">
      <c r="G660" s="9"/>
      <c r="H660" s="9"/>
      <c r="I660" s="15"/>
      <c r="J660" s="12"/>
      <c r="K660" s="12"/>
      <c r="L660" s="5"/>
      <c r="M660" s="12"/>
    </row>
    <row r="661" spans="7:13" x14ac:dyDescent="0.25">
      <c r="G661" s="9"/>
      <c r="H661" s="9"/>
      <c r="I661" s="15"/>
      <c r="J661" s="12"/>
      <c r="K661" s="12"/>
      <c r="L661" s="5"/>
      <c r="M661" s="12"/>
    </row>
    <row r="662" spans="7:13" x14ac:dyDescent="0.25">
      <c r="G662" s="9"/>
      <c r="H662" s="9"/>
      <c r="I662" s="15"/>
      <c r="J662" s="12"/>
      <c r="K662" s="12"/>
      <c r="L662" s="5"/>
      <c r="M662" s="12"/>
    </row>
    <row r="663" spans="7:13" x14ac:dyDescent="0.25">
      <c r="G663" s="9"/>
      <c r="H663" s="9"/>
      <c r="I663" s="15"/>
      <c r="J663" s="12"/>
      <c r="K663" s="12"/>
      <c r="L663" s="5"/>
      <c r="M663" s="12"/>
    </row>
    <row r="664" spans="7:13" x14ac:dyDescent="0.25">
      <c r="G664" s="9"/>
      <c r="H664" s="9"/>
      <c r="I664" s="15"/>
      <c r="J664" s="12"/>
      <c r="K664" s="12"/>
      <c r="L664" s="5"/>
      <c r="M664" s="12"/>
    </row>
    <row r="665" spans="7:13" x14ac:dyDescent="0.25">
      <c r="G665" s="9"/>
      <c r="H665" s="9"/>
      <c r="I665" s="15"/>
      <c r="J665" s="12"/>
      <c r="K665" s="12"/>
      <c r="L665" s="5"/>
      <c r="M665" s="12"/>
    </row>
    <row r="666" spans="7:13" x14ac:dyDescent="0.25">
      <c r="G666" s="9"/>
      <c r="H666" s="9"/>
      <c r="I666" s="15"/>
      <c r="J666" s="12"/>
      <c r="K666" s="12"/>
      <c r="L666" s="5"/>
      <c r="M666" s="12"/>
    </row>
    <row r="667" spans="7:13" x14ac:dyDescent="0.25">
      <c r="G667" s="9"/>
      <c r="H667" s="9"/>
      <c r="I667" s="15"/>
      <c r="J667" s="12"/>
      <c r="K667" s="12"/>
      <c r="L667" s="5"/>
      <c r="M667" s="12"/>
    </row>
    <row r="668" spans="7:13" x14ac:dyDescent="0.25">
      <c r="G668" s="9"/>
      <c r="H668" s="9"/>
      <c r="I668" s="15"/>
      <c r="J668" s="12"/>
      <c r="K668" s="12"/>
      <c r="L668" s="5"/>
      <c r="M668" s="12"/>
    </row>
    <row r="669" spans="7:13" x14ac:dyDescent="0.25">
      <c r="G669" s="9"/>
      <c r="H669" s="9"/>
      <c r="I669" s="15"/>
      <c r="J669" s="12"/>
      <c r="K669" s="12"/>
      <c r="L669" s="5"/>
      <c r="M669" s="12"/>
    </row>
    <row r="670" spans="7:13" x14ac:dyDescent="0.25">
      <c r="G670" s="9"/>
      <c r="H670" s="9"/>
      <c r="I670" s="15"/>
      <c r="J670" s="12"/>
      <c r="K670" s="12"/>
      <c r="L670" s="5"/>
      <c r="M670" s="12"/>
    </row>
    <row r="671" spans="7:13" x14ac:dyDescent="0.25">
      <c r="G671" s="9"/>
      <c r="H671" s="9"/>
      <c r="I671" s="15"/>
      <c r="J671" s="12"/>
      <c r="K671" s="12"/>
      <c r="L671" s="5"/>
      <c r="M671" s="12"/>
    </row>
    <row r="672" spans="7:13" x14ac:dyDescent="0.25">
      <c r="G672" s="9"/>
      <c r="H672" s="9"/>
      <c r="I672" s="15"/>
      <c r="J672" s="12"/>
      <c r="K672" s="12"/>
      <c r="L672" s="5"/>
      <c r="M672" s="12"/>
    </row>
    <row r="673" spans="7:13" x14ac:dyDescent="0.25">
      <c r="G673" s="9"/>
      <c r="H673" s="9"/>
      <c r="I673" s="15"/>
      <c r="J673" s="12"/>
      <c r="K673" s="12"/>
      <c r="L673" s="5"/>
      <c r="M673" s="12"/>
    </row>
    <row r="674" spans="7:13" x14ac:dyDescent="0.25">
      <c r="G674" s="9"/>
      <c r="H674" s="9"/>
      <c r="I674" s="15"/>
      <c r="J674" s="12"/>
      <c r="K674" s="12"/>
      <c r="L674" s="5"/>
      <c r="M674" s="12"/>
    </row>
    <row r="675" spans="7:13" x14ac:dyDescent="0.25">
      <c r="G675" s="9"/>
      <c r="H675" s="9"/>
      <c r="I675" s="15"/>
      <c r="J675" s="12"/>
      <c r="K675" s="12"/>
      <c r="L675" s="5"/>
      <c r="M675" s="12"/>
    </row>
    <row r="676" spans="7:13" x14ac:dyDescent="0.25">
      <c r="G676" s="9"/>
      <c r="H676" s="9"/>
      <c r="I676" s="15"/>
      <c r="J676" s="12"/>
      <c r="K676" s="12"/>
      <c r="L676" s="5"/>
      <c r="M676" s="12"/>
    </row>
    <row r="677" spans="7:13" x14ac:dyDescent="0.25">
      <c r="G677" s="9"/>
      <c r="H677" s="9"/>
      <c r="I677" s="15"/>
      <c r="J677" s="12"/>
      <c r="K677" s="12"/>
      <c r="L677" s="5"/>
      <c r="M677" s="12"/>
    </row>
    <row r="678" spans="7:13" x14ac:dyDescent="0.25">
      <c r="G678" s="9"/>
      <c r="H678" s="9"/>
      <c r="I678" s="15"/>
      <c r="J678" s="12"/>
      <c r="K678" s="12"/>
      <c r="L678" s="5"/>
      <c r="M678" s="12"/>
    </row>
    <row r="679" spans="7:13" x14ac:dyDescent="0.25">
      <c r="G679" s="9"/>
      <c r="H679" s="9"/>
      <c r="I679" s="15"/>
      <c r="J679" s="12"/>
      <c r="K679" s="12"/>
      <c r="L679" s="5"/>
      <c r="M679" s="12"/>
    </row>
    <row r="680" spans="7:13" x14ac:dyDescent="0.25">
      <c r="G680" s="9"/>
      <c r="H680" s="9"/>
      <c r="I680" s="15"/>
      <c r="J680" s="12"/>
      <c r="K680" s="12"/>
      <c r="L680" s="5"/>
      <c r="M680" s="12"/>
    </row>
    <row r="681" spans="7:13" x14ac:dyDescent="0.25">
      <c r="G681" s="9"/>
      <c r="H681" s="9"/>
      <c r="I681" s="15"/>
      <c r="J681" s="12"/>
      <c r="K681" s="12"/>
      <c r="L681" s="5"/>
      <c r="M681" s="12"/>
    </row>
    <row r="682" spans="7:13" x14ac:dyDescent="0.25">
      <c r="G682" s="9"/>
      <c r="H682" s="9"/>
      <c r="I682" s="15"/>
      <c r="J682" s="12"/>
      <c r="K682" s="12"/>
      <c r="L682" s="5"/>
      <c r="M682" s="12"/>
    </row>
    <row r="683" spans="7:13" x14ac:dyDescent="0.25">
      <c r="G683" s="9"/>
      <c r="H683" s="9"/>
      <c r="I683" s="15"/>
      <c r="J683" s="12"/>
      <c r="K683" s="12"/>
      <c r="L683" s="5"/>
      <c r="M683" s="12"/>
    </row>
    <row r="684" spans="7:13" x14ac:dyDescent="0.25">
      <c r="G684" s="9"/>
      <c r="H684" s="9"/>
      <c r="I684" s="15"/>
      <c r="J684" s="12"/>
      <c r="K684" s="12"/>
      <c r="L684" s="5"/>
      <c r="M684" s="12"/>
    </row>
    <row r="685" spans="7:13" x14ac:dyDescent="0.25">
      <c r="G685" s="9"/>
      <c r="H685" s="9"/>
      <c r="I685" s="15"/>
      <c r="J685" s="12"/>
      <c r="K685" s="12"/>
      <c r="L685" s="5"/>
      <c r="M685" s="12"/>
    </row>
    <row r="686" spans="7:13" x14ac:dyDescent="0.25">
      <c r="G686" s="9"/>
      <c r="H686" s="9"/>
      <c r="I686" s="15"/>
      <c r="J686" s="12"/>
      <c r="K686" s="12"/>
      <c r="L686" s="5"/>
      <c r="M686" s="12"/>
    </row>
    <row r="687" spans="7:13" x14ac:dyDescent="0.25">
      <c r="G687" s="9"/>
      <c r="H687" s="9"/>
      <c r="I687" s="15"/>
      <c r="J687" s="12"/>
      <c r="K687" s="12"/>
      <c r="L687" s="5"/>
      <c r="M687" s="12"/>
    </row>
    <row r="688" spans="7:13" x14ac:dyDescent="0.25">
      <c r="G688" s="9"/>
      <c r="H688" s="9"/>
      <c r="I688" s="15"/>
      <c r="J688" s="12"/>
      <c r="K688" s="12"/>
      <c r="L688" s="5"/>
      <c r="M688" s="12"/>
    </row>
    <row r="689" spans="7:13" x14ac:dyDescent="0.25">
      <c r="G689" s="9"/>
      <c r="H689" s="9"/>
      <c r="I689" s="15"/>
      <c r="J689" s="12"/>
      <c r="K689" s="12"/>
      <c r="L689" s="5"/>
      <c r="M689" s="12"/>
    </row>
    <row r="690" spans="7:13" x14ac:dyDescent="0.25">
      <c r="G690" s="9"/>
      <c r="H690" s="9"/>
      <c r="I690" s="15"/>
      <c r="J690" s="12"/>
      <c r="K690" s="12"/>
      <c r="L690" s="5"/>
      <c r="M690" s="12"/>
    </row>
    <row r="691" spans="7:13" x14ac:dyDescent="0.25">
      <c r="G691" s="9"/>
      <c r="H691" s="9"/>
      <c r="I691" s="15"/>
      <c r="J691" s="12"/>
      <c r="K691" s="12"/>
      <c r="L691" s="5"/>
      <c r="M691" s="12"/>
    </row>
    <row r="692" spans="7:13" x14ac:dyDescent="0.25">
      <c r="G692" s="9"/>
      <c r="H692" s="9"/>
      <c r="I692" s="15"/>
      <c r="J692" s="12"/>
      <c r="K692" s="12"/>
      <c r="L692" s="5"/>
      <c r="M692" s="12"/>
    </row>
    <row r="693" spans="7:13" x14ac:dyDescent="0.25">
      <c r="G693" s="9"/>
      <c r="H693" s="9"/>
      <c r="I693" s="15"/>
      <c r="J693" s="12"/>
      <c r="K693" s="12"/>
      <c r="L693" s="5"/>
      <c r="M693" s="12"/>
    </row>
    <row r="694" spans="7:13" x14ac:dyDescent="0.25">
      <c r="G694" s="9"/>
      <c r="H694" s="9"/>
      <c r="I694" s="15"/>
      <c r="J694" s="12"/>
      <c r="K694" s="12"/>
      <c r="L694" s="5"/>
      <c r="M694" s="12"/>
    </row>
    <row r="695" spans="7:13" x14ac:dyDescent="0.25">
      <c r="G695" s="9"/>
      <c r="H695" s="9"/>
      <c r="I695" s="15"/>
      <c r="J695" s="12"/>
      <c r="K695" s="12"/>
      <c r="L695" s="5"/>
      <c r="M695" s="12"/>
    </row>
    <row r="696" spans="7:13" x14ac:dyDescent="0.25">
      <c r="G696" s="9"/>
      <c r="H696" s="9"/>
      <c r="I696" s="15"/>
      <c r="J696" s="12"/>
      <c r="K696" s="12"/>
      <c r="L696" s="5"/>
      <c r="M696" s="12"/>
    </row>
    <row r="697" spans="7:13" x14ac:dyDescent="0.25">
      <c r="G697" s="9"/>
      <c r="H697" s="9"/>
      <c r="I697" s="15"/>
      <c r="J697" s="12"/>
      <c r="K697" s="12"/>
      <c r="L697" s="5"/>
      <c r="M697" s="12"/>
    </row>
    <row r="698" spans="7:13" x14ac:dyDescent="0.25">
      <c r="G698" s="9"/>
      <c r="H698" s="9"/>
      <c r="I698" s="15"/>
      <c r="J698" s="12"/>
      <c r="K698" s="12"/>
      <c r="L698" s="5"/>
      <c r="M698" s="12"/>
    </row>
    <row r="699" spans="7:13" x14ac:dyDescent="0.25">
      <c r="G699" s="9"/>
      <c r="H699" s="9"/>
      <c r="I699" s="15"/>
      <c r="J699" s="12"/>
      <c r="K699" s="12"/>
      <c r="L699" s="5"/>
      <c r="M699" s="12"/>
    </row>
    <row r="700" spans="7:13" x14ac:dyDescent="0.25">
      <c r="G700" s="9"/>
      <c r="H700" s="9"/>
      <c r="I700" s="15"/>
      <c r="J700" s="12"/>
      <c r="K700" s="12"/>
      <c r="L700" s="5"/>
      <c r="M700" s="12"/>
    </row>
    <row r="701" spans="7:13" x14ac:dyDescent="0.25">
      <c r="G701" s="9"/>
      <c r="H701" s="9"/>
      <c r="I701" s="15"/>
      <c r="J701" s="12"/>
      <c r="K701" s="12"/>
      <c r="L701" s="5"/>
      <c r="M701" s="12"/>
    </row>
    <row r="702" spans="7:13" x14ac:dyDescent="0.25">
      <c r="G702" s="9"/>
      <c r="H702" s="9"/>
      <c r="I702" s="15"/>
      <c r="J702" s="12"/>
      <c r="K702" s="12"/>
      <c r="L702" s="5"/>
      <c r="M702" s="12"/>
    </row>
    <row r="703" spans="7:13" x14ac:dyDescent="0.25">
      <c r="G703" s="9"/>
      <c r="H703" s="9"/>
      <c r="I703" s="15"/>
      <c r="J703" s="12"/>
      <c r="K703" s="12"/>
      <c r="L703" s="5"/>
      <c r="M703" s="12"/>
    </row>
    <row r="704" spans="7:13" x14ac:dyDescent="0.25">
      <c r="G704" s="9"/>
      <c r="H704" s="9"/>
      <c r="I704" s="15"/>
      <c r="J704" s="12"/>
      <c r="K704" s="12"/>
      <c r="L704" s="5"/>
      <c r="M704" s="12"/>
    </row>
    <row r="705" spans="7:13" x14ac:dyDescent="0.25">
      <c r="G705" s="9"/>
      <c r="H705" s="9"/>
      <c r="I705" s="15"/>
      <c r="J705" s="12"/>
      <c r="K705" s="12"/>
      <c r="L705" s="5"/>
      <c r="M705" s="12"/>
    </row>
    <row r="706" spans="7:13" x14ac:dyDescent="0.25">
      <c r="G706" s="9"/>
      <c r="H706" s="9"/>
      <c r="I706" s="15"/>
      <c r="J706" s="12"/>
      <c r="K706" s="12"/>
      <c r="L706" s="5"/>
      <c r="M706" s="12"/>
    </row>
    <row r="707" spans="7:13" x14ac:dyDescent="0.25">
      <c r="G707" s="9"/>
      <c r="H707" s="9"/>
      <c r="I707" s="15"/>
      <c r="J707" s="12"/>
      <c r="K707" s="12"/>
      <c r="L707" s="5"/>
      <c r="M707" s="12"/>
    </row>
    <row r="708" spans="7:13" x14ac:dyDescent="0.25">
      <c r="G708" s="9"/>
      <c r="H708" s="9"/>
      <c r="I708" s="15"/>
      <c r="J708" s="12"/>
      <c r="K708" s="12"/>
      <c r="L708" s="5"/>
      <c r="M708" s="12"/>
    </row>
    <row r="709" spans="7:13" x14ac:dyDescent="0.25">
      <c r="G709" s="9"/>
      <c r="H709" s="9"/>
      <c r="I709" s="15"/>
      <c r="J709" s="12"/>
      <c r="K709" s="12"/>
      <c r="L709" s="5"/>
      <c r="M709" s="12"/>
    </row>
    <row r="710" spans="7:13" x14ac:dyDescent="0.25">
      <c r="G710" s="9"/>
      <c r="H710" s="9"/>
      <c r="I710" s="15"/>
      <c r="J710" s="12"/>
      <c r="K710" s="12"/>
      <c r="L710" s="5"/>
      <c r="M710" s="12"/>
    </row>
    <row r="711" spans="7:13" x14ac:dyDescent="0.25">
      <c r="G711" s="9"/>
      <c r="H711" s="9"/>
      <c r="I711" s="15"/>
      <c r="J711" s="12"/>
      <c r="K711" s="12"/>
      <c r="L711" s="5"/>
      <c r="M711" s="12"/>
    </row>
    <row r="712" spans="7:13" x14ac:dyDescent="0.25">
      <c r="G712" s="9"/>
      <c r="H712" s="9"/>
      <c r="I712" s="15"/>
      <c r="J712" s="12"/>
      <c r="K712" s="12"/>
      <c r="L712" s="5"/>
      <c r="M712" s="12"/>
    </row>
    <row r="713" spans="7:13" x14ac:dyDescent="0.25">
      <c r="G713" s="9"/>
      <c r="H713" s="9"/>
      <c r="I713" s="15"/>
      <c r="J713" s="12"/>
      <c r="K713" s="12"/>
      <c r="L713" s="5"/>
      <c r="M713" s="12"/>
    </row>
    <row r="714" spans="7:13" x14ac:dyDescent="0.25">
      <c r="G714" s="9"/>
      <c r="H714" s="9"/>
      <c r="I714" s="15"/>
      <c r="J714" s="12"/>
      <c r="K714" s="12"/>
      <c r="L714" s="5"/>
      <c r="M714" s="12"/>
    </row>
    <row r="715" spans="7:13" x14ac:dyDescent="0.25">
      <c r="G715" s="9"/>
      <c r="H715" s="9"/>
      <c r="I715" s="15"/>
      <c r="J715" s="12"/>
      <c r="K715" s="12"/>
      <c r="L715" s="5"/>
      <c r="M715" s="12"/>
    </row>
    <row r="716" spans="7:13" x14ac:dyDescent="0.25">
      <c r="G716" s="9"/>
      <c r="H716" s="9"/>
      <c r="I716" s="15"/>
      <c r="J716" s="12"/>
      <c r="K716" s="12"/>
      <c r="L716" s="5"/>
      <c r="M716" s="12"/>
    </row>
    <row r="717" spans="7:13" x14ac:dyDescent="0.25">
      <c r="G717" s="9"/>
      <c r="H717" s="9"/>
      <c r="I717" s="15"/>
      <c r="J717" s="12"/>
      <c r="K717" s="12"/>
      <c r="L717" s="5"/>
      <c r="M717" s="12"/>
    </row>
    <row r="718" spans="7:13" x14ac:dyDescent="0.25">
      <c r="G718" s="9"/>
      <c r="H718" s="9"/>
      <c r="I718" s="15"/>
      <c r="J718" s="12"/>
      <c r="K718" s="12"/>
      <c r="L718" s="5"/>
      <c r="M718" s="12"/>
    </row>
    <row r="719" spans="7:13" x14ac:dyDescent="0.25">
      <c r="G719" s="9"/>
      <c r="H719" s="9"/>
      <c r="I719" s="15"/>
      <c r="J719" s="12"/>
      <c r="K719" s="12"/>
      <c r="L719" s="5"/>
      <c r="M719" s="12"/>
    </row>
    <row r="720" spans="7:13" x14ac:dyDescent="0.25">
      <c r="G720" s="9"/>
      <c r="H720" s="9"/>
      <c r="I720" s="15"/>
      <c r="J720" s="12"/>
      <c r="K720" s="12"/>
      <c r="L720" s="5"/>
      <c r="M720" s="12"/>
    </row>
    <row r="721" spans="7:13" x14ac:dyDescent="0.25">
      <c r="G721" s="9"/>
      <c r="H721" s="9"/>
      <c r="I721" s="15"/>
      <c r="J721" s="12"/>
      <c r="K721" s="12"/>
      <c r="L721" s="5"/>
      <c r="M721" s="12"/>
    </row>
    <row r="722" spans="7:13" x14ac:dyDescent="0.25">
      <c r="G722" s="9"/>
      <c r="H722" s="9"/>
      <c r="I722" s="15"/>
      <c r="J722" s="12"/>
      <c r="K722" s="12"/>
      <c r="L722" s="5"/>
      <c r="M722" s="12"/>
    </row>
    <row r="723" spans="7:13" x14ac:dyDescent="0.25">
      <c r="G723" s="9"/>
      <c r="H723" s="9"/>
      <c r="I723" s="15"/>
      <c r="J723" s="12"/>
      <c r="K723" s="12"/>
      <c r="L723" s="5"/>
      <c r="M723" s="12"/>
    </row>
    <row r="724" spans="7:13" x14ac:dyDescent="0.25">
      <c r="G724" s="9"/>
      <c r="H724" s="9"/>
      <c r="I724" s="15"/>
      <c r="J724" s="12"/>
      <c r="K724" s="12"/>
      <c r="L724" s="5"/>
      <c r="M724" s="12"/>
    </row>
    <row r="725" spans="7:13" x14ac:dyDescent="0.25">
      <c r="G725" s="9"/>
      <c r="H725" s="9"/>
      <c r="I725" s="15"/>
      <c r="J725" s="12"/>
      <c r="K725" s="12"/>
      <c r="L725" s="5"/>
      <c r="M725" s="12"/>
    </row>
    <row r="726" spans="7:13" x14ac:dyDescent="0.25">
      <c r="G726" s="9"/>
      <c r="H726" s="9"/>
      <c r="I726" s="15"/>
      <c r="J726" s="12"/>
      <c r="K726" s="12"/>
      <c r="L726" s="5"/>
      <c r="M726" s="12"/>
    </row>
    <row r="727" spans="7:13" x14ac:dyDescent="0.25">
      <c r="G727" s="9"/>
      <c r="H727" s="9"/>
      <c r="I727" s="15"/>
      <c r="J727" s="12"/>
      <c r="K727" s="12"/>
      <c r="L727" s="5"/>
      <c r="M727" s="12"/>
    </row>
    <row r="728" spans="7:13" x14ac:dyDescent="0.25">
      <c r="G728" s="9"/>
      <c r="H728" s="9"/>
      <c r="I728" s="15"/>
      <c r="J728" s="12"/>
      <c r="K728" s="12"/>
      <c r="L728" s="5"/>
      <c r="M728" s="12"/>
    </row>
    <row r="729" spans="7:13" x14ac:dyDescent="0.25">
      <c r="G729" s="9"/>
      <c r="H729" s="9"/>
      <c r="I729" s="15"/>
      <c r="J729" s="12"/>
      <c r="K729" s="12"/>
      <c r="L729" s="5"/>
      <c r="M729" s="12"/>
    </row>
    <row r="730" spans="7:13" x14ac:dyDescent="0.25">
      <c r="G730" s="9"/>
      <c r="H730" s="9"/>
      <c r="I730" s="15"/>
      <c r="J730" s="12"/>
      <c r="K730" s="12"/>
      <c r="L730" s="5"/>
      <c r="M730" s="12"/>
    </row>
    <row r="731" spans="7:13" x14ac:dyDescent="0.25">
      <c r="G731" s="9"/>
      <c r="H731" s="9"/>
      <c r="I731" s="15"/>
      <c r="J731" s="12"/>
      <c r="K731" s="12"/>
      <c r="L731" s="5"/>
      <c r="M731" s="12"/>
    </row>
    <row r="732" spans="7:13" x14ac:dyDescent="0.25">
      <c r="G732" s="9"/>
      <c r="H732" s="9"/>
      <c r="I732" s="15"/>
      <c r="J732" s="12"/>
      <c r="K732" s="12"/>
      <c r="L732" s="5"/>
      <c r="M732" s="12"/>
    </row>
    <row r="733" spans="7:13" x14ac:dyDescent="0.25">
      <c r="G733" s="9"/>
      <c r="H733" s="9"/>
      <c r="I733" s="15"/>
      <c r="J733" s="12"/>
      <c r="K733" s="12"/>
      <c r="L733" s="5"/>
      <c r="M733" s="12"/>
    </row>
    <row r="734" spans="7:13" x14ac:dyDescent="0.25">
      <c r="G734" s="9"/>
      <c r="H734" s="9"/>
      <c r="I734" s="15"/>
      <c r="J734" s="12"/>
      <c r="K734" s="12"/>
      <c r="L734" s="5"/>
      <c r="M734" s="12"/>
    </row>
    <row r="735" spans="7:13" x14ac:dyDescent="0.25">
      <c r="G735" s="9"/>
      <c r="H735" s="9"/>
      <c r="I735" s="15"/>
      <c r="J735" s="12"/>
      <c r="K735" s="12"/>
      <c r="L735" s="5"/>
      <c r="M735" s="12"/>
    </row>
    <row r="736" spans="7:13" x14ac:dyDescent="0.25">
      <c r="G736" s="9"/>
      <c r="H736" s="9"/>
      <c r="I736" s="15"/>
      <c r="J736" s="12"/>
      <c r="K736" s="12"/>
      <c r="L736" s="5"/>
      <c r="M736" s="12"/>
    </row>
    <row r="737" spans="7:13" x14ac:dyDescent="0.25">
      <c r="G737" s="9"/>
      <c r="H737" s="9"/>
      <c r="I737" s="15"/>
      <c r="J737" s="12"/>
      <c r="K737" s="12"/>
      <c r="L737" s="5"/>
      <c r="M737" s="12"/>
    </row>
    <row r="738" spans="7:13" x14ac:dyDescent="0.25">
      <c r="G738" s="9"/>
      <c r="H738" s="9"/>
      <c r="I738" s="15"/>
      <c r="J738" s="12"/>
      <c r="K738" s="12"/>
      <c r="L738" s="5"/>
      <c r="M738" s="12"/>
    </row>
    <row r="739" spans="7:13" x14ac:dyDescent="0.25">
      <c r="G739" s="9"/>
      <c r="H739" s="9"/>
      <c r="I739" s="15"/>
      <c r="J739" s="12"/>
      <c r="K739" s="12"/>
      <c r="L739" s="5"/>
      <c r="M739" s="12"/>
    </row>
    <row r="740" spans="7:13" x14ac:dyDescent="0.25">
      <c r="G740" s="9"/>
      <c r="H740" s="9"/>
      <c r="I740" s="15"/>
      <c r="J740" s="12"/>
      <c r="K740" s="12"/>
      <c r="L740" s="5"/>
      <c r="M740" s="12"/>
    </row>
    <row r="741" spans="7:13" x14ac:dyDescent="0.25">
      <c r="G741" s="9"/>
      <c r="H741" s="9"/>
      <c r="I741" s="15"/>
      <c r="J741" s="12"/>
      <c r="K741" s="12"/>
      <c r="L741" s="5"/>
      <c r="M741" s="12"/>
    </row>
    <row r="742" spans="7:13" x14ac:dyDescent="0.25">
      <c r="G742" s="9"/>
      <c r="H742" s="9"/>
      <c r="I742" s="15"/>
      <c r="J742" s="12"/>
      <c r="K742" s="12"/>
      <c r="L742" s="5"/>
      <c r="M742" s="12"/>
    </row>
    <row r="743" spans="7:13" x14ac:dyDescent="0.25">
      <c r="G743" s="9"/>
      <c r="H743" s="9"/>
      <c r="I743" s="15"/>
      <c r="J743" s="12"/>
      <c r="K743" s="12"/>
      <c r="L743" s="5"/>
      <c r="M743" s="12"/>
    </row>
    <row r="744" spans="7:13" x14ac:dyDescent="0.25">
      <c r="G744" s="9"/>
      <c r="H744" s="9"/>
      <c r="I744" s="15"/>
      <c r="J744" s="12"/>
      <c r="K744" s="12"/>
      <c r="L744" s="5"/>
      <c r="M744" s="12"/>
    </row>
    <row r="745" spans="7:13" x14ac:dyDescent="0.25">
      <c r="G745" s="9"/>
      <c r="H745" s="9"/>
      <c r="I745" s="15"/>
      <c r="J745" s="12"/>
      <c r="K745" s="12"/>
      <c r="L745" s="5"/>
      <c r="M745" s="12"/>
    </row>
    <row r="746" spans="7:13" x14ac:dyDescent="0.25">
      <c r="G746" s="9"/>
      <c r="H746" s="9"/>
      <c r="I746" s="15"/>
      <c r="J746" s="12"/>
      <c r="K746" s="12"/>
      <c r="L746" s="5"/>
      <c r="M746" s="12"/>
    </row>
    <row r="747" spans="7:13" x14ac:dyDescent="0.25">
      <c r="G747" s="9"/>
      <c r="H747" s="9"/>
      <c r="I747" s="15"/>
      <c r="J747" s="12"/>
      <c r="K747" s="12"/>
      <c r="L747" s="5"/>
      <c r="M747" s="12"/>
    </row>
    <row r="748" spans="7:13" x14ac:dyDescent="0.25">
      <c r="G748" s="9"/>
      <c r="H748" s="9"/>
      <c r="I748" s="15"/>
      <c r="J748" s="12"/>
      <c r="K748" s="12"/>
      <c r="L748" s="5"/>
      <c r="M748" s="12"/>
    </row>
    <row r="749" spans="7:13" x14ac:dyDescent="0.25">
      <c r="G749" s="9"/>
      <c r="H749" s="9"/>
      <c r="I749" s="15"/>
      <c r="J749" s="12"/>
      <c r="K749" s="12"/>
      <c r="L749" s="5"/>
      <c r="M749" s="12"/>
    </row>
    <row r="750" spans="7:13" x14ac:dyDescent="0.25">
      <c r="G750" s="9"/>
      <c r="H750" s="9"/>
      <c r="I750" s="15"/>
      <c r="J750" s="12"/>
      <c r="K750" s="12"/>
      <c r="L750" s="5"/>
      <c r="M750" s="12"/>
    </row>
    <row r="751" spans="7:13" x14ac:dyDescent="0.25">
      <c r="G751" s="9"/>
      <c r="H751" s="9"/>
      <c r="I751" s="15"/>
      <c r="J751" s="12"/>
      <c r="K751" s="12"/>
      <c r="L751" s="5"/>
      <c r="M751" s="12"/>
    </row>
    <row r="752" spans="7:13" x14ac:dyDescent="0.25">
      <c r="G752" s="9"/>
      <c r="H752" s="9"/>
      <c r="I752" s="15"/>
      <c r="J752" s="12"/>
      <c r="K752" s="12"/>
      <c r="L752" s="5"/>
      <c r="M752" s="12"/>
    </row>
    <row r="753" spans="7:13" x14ac:dyDescent="0.25">
      <c r="G753" s="9"/>
      <c r="H753" s="9"/>
      <c r="I753" s="15"/>
      <c r="J753" s="12"/>
      <c r="K753" s="12"/>
      <c r="L753" s="5"/>
      <c r="M753" s="12"/>
    </row>
    <row r="754" spans="7:13" x14ac:dyDescent="0.25">
      <c r="G754" s="9"/>
      <c r="H754" s="9"/>
      <c r="I754" s="15"/>
      <c r="J754" s="12"/>
      <c r="K754" s="12"/>
      <c r="L754" s="5"/>
      <c r="M754" s="12"/>
    </row>
    <row r="755" spans="7:13" x14ac:dyDescent="0.25">
      <c r="G755" s="9"/>
      <c r="H755" s="9"/>
      <c r="I755" s="15"/>
      <c r="J755" s="12"/>
      <c r="K755" s="12"/>
      <c r="L755" s="5"/>
      <c r="M755" s="12"/>
    </row>
    <row r="756" spans="7:13" x14ac:dyDescent="0.25">
      <c r="G756" s="9"/>
      <c r="H756" s="9"/>
      <c r="I756" s="15"/>
      <c r="J756" s="12"/>
      <c r="K756" s="12"/>
      <c r="L756" s="5"/>
      <c r="M756" s="12"/>
    </row>
    <row r="757" spans="7:13" x14ac:dyDescent="0.25">
      <c r="G757" s="9"/>
      <c r="H757" s="9"/>
      <c r="I757" s="15"/>
      <c r="J757" s="12"/>
      <c r="K757" s="12"/>
      <c r="L757" s="5"/>
      <c r="M757" s="12"/>
    </row>
    <row r="758" spans="7:13" x14ac:dyDescent="0.25">
      <c r="G758" s="9"/>
      <c r="H758" s="9"/>
      <c r="I758" s="15"/>
      <c r="J758" s="12"/>
      <c r="K758" s="12"/>
      <c r="L758" s="5"/>
      <c r="M758" s="12"/>
    </row>
    <row r="759" spans="7:13" x14ac:dyDescent="0.25">
      <c r="G759" s="9"/>
      <c r="H759" s="9"/>
      <c r="I759" s="15"/>
      <c r="J759" s="12"/>
      <c r="K759" s="12"/>
      <c r="L759" s="5"/>
      <c r="M759" s="12"/>
    </row>
    <row r="760" spans="7:13" x14ac:dyDescent="0.25">
      <c r="G760" s="9"/>
      <c r="H760" s="9"/>
      <c r="I760" s="15"/>
      <c r="J760" s="12"/>
      <c r="K760" s="12"/>
      <c r="L760" s="5"/>
      <c r="M760" s="12"/>
    </row>
    <row r="761" spans="7:13" x14ac:dyDescent="0.25">
      <c r="G761" s="9"/>
      <c r="H761" s="9"/>
      <c r="I761" s="15"/>
      <c r="J761" s="12"/>
      <c r="K761" s="12"/>
      <c r="L761" s="5"/>
      <c r="M761" s="12"/>
    </row>
    <row r="762" spans="7:13" x14ac:dyDescent="0.25">
      <c r="G762" s="9"/>
      <c r="H762" s="9"/>
      <c r="I762" s="15"/>
      <c r="J762" s="12"/>
      <c r="K762" s="12"/>
      <c r="L762" s="5"/>
      <c r="M762" s="12"/>
    </row>
    <row r="763" spans="7:13" x14ac:dyDescent="0.25">
      <c r="G763" s="9"/>
      <c r="H763" s="9"/>
      <c r="I763" s="15"/>
      <c r="J763" s="12"/>
      <c r="K763" s="12"/>
      <c r="L763" s="5"/>
      <c r="M763" s="12"/>
    </row>
    <row r="764" spans="7:13" x14ac:dyDescent="0.25">
      <c r="G764" s="9"/>
      <c r="H764" s="9"/>
      <c r="I764" s="15"/>
      <c r="J764" s="12"/>
      <c r="K764" s="12"/>
      <c r="L764" s="5"/>
      <c r="M764" s="12"/>
    </row>
    <row r="765" spans="7:13" x14ac:dyDescent="0.25">
      <c r="G765" s="9"/>
      <c r="H765" s="9"/>
      <c r="I765" s="15"/>
      <c r="J765" s="12"/>
      <c r="K765" s="12"/>
      <c r="L765" s="5"/>
      <c r="M765" s="12"/>
    </row>
    <row r="766" spans="7:13" x14ac:dyDescent="0.25">
      <c r="G766" s="9"/>
      <c r="H766" s="9"/>
      <c r="I766" s="15"/>
      <c r="J766" s="12"/>
      <c r="K766" s="12"/>
      <c r="L766" s="5"/>
      <c r="M766" s="12"/>
    </row>
    <row r="767" spans="7:13" x14ac:dyDescent="0.25">
      <c r="G767" s="9"/>
      <c r="H767" s="9"/>
      <c r="I767" s="15"/>
      <c r="J767" s="12"/>
      <c r="K767" s="12"/>
      <c r="L767" s="5"/>
      <c r="M767" s="12"/>
    </row>
    <row r="768" spans="7:13" x14ac:dyDescent="0.25">
      <c r="G768" s="9"/>
      <c r="H768" s="9"/>
      <c r="I768" s="15"/>
      <c r="J768" s="12"/>
      <c r="K768" s="12"/>
      <c r="L768" s="5"/>
      <c r="M768" s="12"/>
    </row>
    <row r="769" spans="7:13" x14ac:dyDescent="0.25">
      <c r="G769" s="9"/>
      <c r="H769" s="9"/>
      <c r="I769" s="15"/>
      <c r="J769" s="12"/>
      <c r="K769" s="12"/>
      <c r="L769" s="5"/>
      <c r="M769" s="12"/>
    </row>
    <row r="770" spans="7:13" x14ac:dyDescent="0.25">
      <c r="G770" s="9"/>
      <c r="H770" s="9"/>
      <c r="I770" s="15"/>
      <c r="J770" s="12"/>
      <c r="K770" s="12"/>
      <c r="L770" s="5"/>
      <c r="M770" s="12"/>
    </row>
    <row r="771" spans="7:13" x14ac:dyDescent="0.25">
      <c r="G771" s="9"/>
      <c r="H771" s="9"/>
      <c r="I771" s="15"/>
      <c r="J771" s="12"/>
      <c r="K771" s="12"/>
      <c r="L771" s="5"/>
      <c r="M771" s="12"/>
    </row>
    <row r="772" spans="7:13" x14ac:dyDescent="0.25">
      <c r="G772" s="9"/>
      <c r="H772" s="9"/>
      <c r="I772" s="15"/>
      <c r="J772" s="12"/>
      <c r="K772" s="12"/>
      <c r="L772" s="5"/>
      <c r="M772" s="12"/>
    </row>
    <row r="773" spans="7:13" x14ac:dyDescent="0.25">
      <c r="G773" s="9"/>
      <c r="H773" s="9"/>
      <c r="I773" s="15"/>
      <c r="J773" s="12"/>
      <c r="K773" s="12"/>
      <c r="L773" s="5"/>
      <c r="M773" s="12"/>
    </row>
    <row r="774" spans="7:13" x14ac:dyDescent="0.25">
      <c r="G774" s="9"/>
      <c r="H774" s="9"/>
      <c r="I774" s="15"/>
      <c r="J774" s="12"/>
      <c r="K774" s="12"/>
      <c r="L774" s="5"/>
      <c r="M774" s="12"/>
    </row>
    <row r="775" spans="7:13" x14ac:dyDescent="0.25">
      <c r="G775" s="9"/>
      <c r="H775" s="9"/>
      <c r="I775" s="15"/>
      <c r="J775" s="12"/>
      <c r="K775" s="12"/>
      <c r="L775" s="5"/>
      <c r="M775" s="12"/>
    </row>
    <row r="776" spans="7:13" x14ac:dyDescent="0.25">
      <c r="G776" s="9"/>
      <c r="H776" s="9"/>
      <c r="I776" s="15"/>
      <c r="J776" s="12"/>
      <c r="K776" s="12"/>
      <c r="L776" s="5"/>
      <c r="M776" s="12"/>
    </row>
    <row r="777" spans="7:13" x14ac:dyDescent="0.25">
      <c r="G777" s="9"/>
      <c r="H777" s="9"/>
      <c r="I777" s="15"/>
      <c r="J777" s="12"/>
      <c r="K777" s="12"/>
      <c r="L777" s="5"/>
      <c r="M777" s="12"/>
    </row>
    <row r="778" spans="7:13" x14ac:dyDescent="0.25">
      <c r="G778" s="9"/>
      <c r="H778" s="9"/>
      <c r="I778" s="15"/>
      <c r="J778" s="12"/>
      <c r="K778" s="12"/>
      <c r="L778" s="5"/>
      <c r="M778" s="12"/>
    </row>
    <row r="779" spans="7:13" x14ac:dyDescent="0.25">
      <c r="G779" s="9"/>
      <c r="H779" s="9"/>
      <c r="I779" s="15"/>
      <c r="J779" s="12"/>
      <c r="K779" s="12"/>
      <c r="L779" s="5"/>
      <c r="M779" s="12"/>
    </row>
    <row r="780" spans="7:13" x14ac:dyDescent="0.25">
      <c r="G780" s="9"/>
      <c r="H780" s="9"/>
      <c r="I780" s="15"/>
      <c r="J780" s="12"/>
      <c r="K780" s="12"/>
      <c r="L780" s="5"/>
      <c r="M780" s="12"/>
    </row>
    <row r="781" spans="7:13" x14ac:dyDescent="0.25">
      <c r="G781" s="9"/>
      <c r="H781" s="9"/>
      <c r="I781" s="15"/>
      <c r="J781" s="12"/>
      <c r="K781" s="12"/>
      <c r="L781" s="5"/>
      <c r="M781" s="12"/>
    </row>
    <row r="782" spans="7:13" x14ac:dyDescent="0.25">
      <c r="G782" s="9"/>
      <c r="H782" s="9"/>
      <c r="I782" s="15"/>
      <c r="J782" s="12"/>
      <c r="K782" s="12"/>
      <c r="L782" s="5"/>
      <c r="M782" s="12"/>
    </row>
    <row r="783" spans="7:13" x14ac:dyDescent="0.25">
      <c r="G783" s="9"/>
      <c r="H783" s="9"/>
      <c r="I783" s="15"/>
      <c r="J783" s="12"/>
      <c r="K783" s="12"/>
      <c r="L783" s="5"/>
      <c r="M783" s="12"/>
    </row>
    <row r="784" spans="7:13" x14ac:dyDescent="0.25">
      <c r="G784" s="9"/>
      <c r="H784" s="9"/>
      <c r="I784" s="15"/>
      <c r="J784" s="12"/>
      <c r="K784" s="12"/>
      <c r="L784" s="5"/>
      <c r="M784" s="12"/>
    </row>
    <row r="785" spans="7:13" x14ac:dyDescent="0.25">
      <c r="G785" s="9"/>
      <c r="H785" s="9"/>
      <c r="I785" s="15"/>
      <c r="J785" s="12"/>
      <c r="K785" s="12"/>
      <c r="L785" s="5"/>
      <c r="M785" s="12"/>
    </row>
    <row r="786" spans="7:13" x14ac:dyDescent="0.25">
      <c r="G786" s="9"/>
      <c r="H786" s="9"/>
      <c r="I786" s="15"/>
      <c r="J786" s="12"/>
      <c r="K786" s="12"/>
      <c r="L786" s="5"/>
      <c r="M786" s="12"/>
    </row>
    <row r="787" spans="7:13" x14ac:dyDescent="0.25">
      <c r="G787" s="9"/>
      <c r="H787" s="9"/>
      <c r="I787" s="15"/>
      <c r="J787" s="12"/>
      <c r="K787" s="12"/>
      <c r="L787" s="5"/>
      <c r="M787" s="12"/>
    </row>
    <row r="788" spans="7:13" x14ac:dyDescent="0.25">
      <c r="G788" s="9"/>
      <c r="H788" s="9"/>
      <c r="I788" s="15"/>
      <c r="J788" s="12"/>
      <c r="K788" s="12"/>
      <c r="L788" s="5"/>
      <c r="M788" s="12"/>
    </row>
    <row r="789" spans="7:13" x14ac:dyDescent="0.25">
      <c r="G789" s="9"/>
      <c r="H789" s="9"/>
      <c r="I789" s="15"/>
      <c r="J789" s="12"/>
      <c r="K789" s="12"/>
      <c r="L789" s="5"/>
      <c r="M789" s="12"/>
    </row>
    <row r="790" spans="7:13" x14ac:dyDescent="0.25">
      <c r="G790" s="9"/>
      <c r="H790" s="9"/>
      <c r="I790" s="15"/>
      <c r="J790" s="12"/>
      <c r="K790" s="12"/>
      <c r="L790" s="5"/>
      <c r="M790" s="12"/>
    </row>
    <row r="791" spans="7:13" x14ac:dyDescent="0.25">
      <c r="G791" s="9"/>
      <c r="H791" s="9"/>
      <c r="I791" s="15"/>
      <c r="J791" s="12"/>
      <c r="K791" s="12"/>
      <c r="L791" s="5"/>
      <c r="M791" s="12"/>
    </row>
    <row r="792" spans="7:13" x14ac:dyDescent="0.25">
      <c r="G792" s="9"/>
      <c r="H792" s="9"/>
      <c r="I792" s="15"/>
      <c r="J792" s="12"/>
      <c r="K792" s="12"/>
      <c r="L792" s="5"/>
      <c r="M792" s="12"/>
    </row>
    <row r="793" spans="7:13" x14ac:dyDescent="0.25">
      <c r="G793" s="9"/>
      <c r="H793" s="9"/>
      <c r="I793" s="15"/>
      <c r="J793" s="12"/>
      <c r="K793" s="12"/>
      <c r="L793" s="5"/>
      <c r="M793" s="12"/>
    </row>
    <row r="794" spans="7:13" x14ac:dyDescent="0.25">
      <c r="G794" s="9"/>
      <c r="H794" s="9"/>
      <c r="I794" s="15"/>
      <c r="J794" s="12"/>
      <c r="K794" s="12"/>
      <c r="L794" s="5"/>
      <c r="M794" s="12"/>
    </row>
    <row r="795" spans="7:13" x14ac:dyDescent="0.25">
      <c r="G795" s="9"/>
      <c r="H795" s="9"/>
      <c r="I795" s="15"/>
      <c r="J795" s="12"/>
      <c r="K795" s="12"/>
      <c r="L795" s="5"/>
      <c r="M795" s="12"/>
    </row>
    <row r="796" spans="7:13" x14ac:dyDescent="0.25">
      <c r="G796" s="9"/>
      <c r="H796" s="9"/>
      <c r="I796" s="15"/>
      <c r="J796" s="12"/>
      <c r="K796" s="12"/>
      <c r="L796" s="5"/>
      <c r="M796" s="12"/>
    </row>
    <row r="797" spans="7:13" x14ac:dyDescent="0.25">
      <c r="G797" s="9"/>
      <c r="H797" s="9"/>
      <c r="I797" s="15"/>
      <c r="J797" s="12"/>
      <c r="K797" s="12"/>
      <c r="L797" s="5"/>
      <c r="M797" s="12"/>
    </row>
    <row r="798" spans="7:13" x14ac:dyDescent="0.25">
      <c r="G798" s="9"/>
      <c r="H798" s="9"/>
      <c r="I798" s="15"/>
      <c r="J798" s="12"/>
      <c r="K798" s="12"/>
      <c r="L798" s="5"/>
      <c r="M798" s="12"/>
    </row>
    <row r="799" spans="7:13" x14ac:dyDescent="0.25">
      <c r="G799" s="9"/>
      <c r="H799" s="9"/>
      <c r="I799" s="15"/>
      <c r="J799" s="12"/>
      <c r="K799" s="12"/>
      <c r="L799" s="5"/>
      <c r="M799" s="12"/>
    </row>
    <row r="800" spans="7:13" x14ac:dyDescent="0.25">
      <c r="G800" s="9"/>
      <c r="H800" s="9"/>
      <c r="I800" s="15"/>
      <c r="J800" s="12"/>
      <c r="K800" s="12"/>
      <c r="L800" s="5"/>
      <c r="M800" s="12"/>
    </row>
    <row r="801" spans="7:13" x14ac:dyDescent="0.25">
      <c r="G801" s="9"/>
      <c r="H801" s="9"/>
      <c r="I801" s="15"/>
      <c r="J801" s="12"/>
      <c r="K801" s="12"/>
      <c r="L801" s="5"/>
      <c r="M801" s="12"/>
    </row>
    <row r="802" spans="7:13" x14ac:dyDescent="0.25">
      <c r="G802" s="9"/>
      <c r="H802" s="9"/>
      <c r="I802" s="15"/>
      <c r="J802" s="12"/>
      <c r="K802" s="12"/>
      <c r="L802" s="5"/>
      <c r="M802" s="12"/>
    </row>
    <row r="803" spans="7:13" x14ac:dyDescent="0.25">
      <c r="G803" s="9"/>
      <c r="H803" s="9"/>
      <c r="I803" s="15"/>
      <c r="J803" s="12"/>
      <c r="K803" s="12"/>
      <c r="L803" s="5"/>
      <c r="M803" s="12"/>
    </row>
    <row r="804" spans="7:13" x14ac:dyDescent="0.25">
      <c r="G804" s="9"/>
      <c r="H804" s="9"/>
      <c r="I804" s="15"/>
      <c r="J804" s="12"/>
      <c r="K804" s="12"/>
      <c r="L804" s="5"/>
      <c r="M804" s="12"/>
    </row>
    <row r="805" spans="7:13" x14ac:dyDescent="0.25">
      <c r="G805" s="9"/>
      <c r="H805" s="9"/>
      <c r="I805" s="15"/>
      <c r="J805" s="12"/>
      <c r="K805" s="12"/>
      <c r="L805" s="5"/>
      <c r="M805" s="12"/>
    </row>
    <row r="806" spans="7:13" x14ac:dyDescent="0.25">
      <c r="G806" s="9"/>
      <c r="H806" s="9"/>
      <c r="I806" s="15"/>
      <c r="J806" s="12"/>
      <c r="K806" s="12"/>
      <c r="L806" s="5"/>
      <c r="M806" s="12"/>
    </row>
    <row r="807" spans="7:13" x14ac:dyDescent="0.25">
      <c r="G807" s="9"/>
      <c r="H807" s="9"/>
      <c r="I807" s="15"/>
      <c r="J807" s="12"/>
      <c r="K807" s="12"/>
      <c r="L807" s="5"/>
      <c r="M807" s="12"/>
    </row>
    <row r="808" spans="7:13" x14ac:dyDescent="0.25">
      <c r="G808" s="9"/>
      <c r="H808" s="9"/>
      <c r="I808" s="15"/>
      <c r="J808" s="12"/>
      <c r="K808" s="12"/>
      <c r="L808" s="5"/>
      <c r="M808" s="12"/>
    </row>
    <row r="809" spans="7:13" x14ac:dyDescent="0.25">
      <c r="G809" s="9"/>
      <c r="H809" s="9"/>
      <c r="I809" s="15"/>
      <c r="J809" s="12"/>
      <c r="K809" s="12"/>
      <c r="L809" s="5"/>
      <c r="M809" s="12"/>
    </row>
    <row r="810" spans="7:13" x14ac:dyDescent="0.25">
      <c r="G810" s="9"/>
      <c r="H810" s="9"/>
      <c r="I810" s="15"/>
      <c r="J810" s="12"/>
      <c r="K810" s="12"/>
      <c r="L810" s="5"/>
      <c r="M810" s="12"/>
    </row>
    <row r="811" spans="7:13" x14ac:dyDescent="0.25">
      <c r="G811" s="9"/>
      <c r="H811" s="9"/>
      <c r="I811" s="15"/>
      <c r="J811" s="12"/>
      <c r="K811" s="12"/>
      <c r="L811" s="5"/>
      <c r="M811" s="12"/>
    </row>
    <row r="812" spans="7:13" x14ac:dyDescent="0.25">
      <c r="G812" s="9"/>
      <c r="H812" s="9"/>
      <c r="I812" s="15"/>
      <c r="J812" s="12"/>
      <c r="K812" s="12"/>
      <c r="L812" s="5"/>
      <c r="M812" s="12"/>
    </row>
    <row r="813" spans="7:13" x14ac:dyDescent="0.25">
      <c r="G813" s="9"/>
      <c r="H813" s="9"/>
      <c r="I813" s="15"/>
      <c r="J813" s="12"/>
      <c r="K813" s="12"/>
      <c r="L813" s="5"/>
      <c r="M813" s="12"/>
    </row>
    <row r="814" spans="7:13" x14ac:dyDescent="0.25">
      <c r="G814" s="9"/>
      <c r="H814" s="9"/>
      <c r="I814" s="15"/>
      <c r="J814" s="12"/>
      <c r="K814" s="12"/>
      <c r="L814" s="5"/>
      <c r="M814" s="12"/>
    </row>
    <row r="815" spans="7:13" x14ac:dyDescent="0.25">
      <c r="G815" s="9"/>
      <c r="H815" s="9"/>
      <c r="I815" s="15"/>
      <c r="J815" s="12"/>
      <c r="K815" s="12"/>
      <c r="L815" s="5"/>
      <c r="M815" s="12"/>
    </row>
    <row r="816" spans="7:13" x14ac:dyDescent="0.25">
      <c r="G816" s="9"/>
      <c r="H816" s="9"/>
      <c r="I816" s="15"/>
      <c r="J816" s="12"/>
      <c r="K816" s="12"/>
      <c r="L816" s="5"/>
      <c r="M816" s="12"/>
    </row>
    <row r="817" spans="7:13" x14ac:dyDescent="0.25">
      <c r="G817" s="9"/>
      <c r="H817" s="9"/>
      <c r="I817" s="15"/>
      <c r="J817" s="12"/>
      <c r="K817" s="12"/>
      <c r="L817" s="5"/>
      <c r="M817" s="12"/>
    </row>
    <row r="818" spans="7:13" x14ac:dyDescent="0.25">
      <c r="G818" s="9"/>
      <c r="H818" s="9"/>
      <c r="I818" s="15"/>
      <c r="J818" s="12"/>
      <c r="K818" s="12"/>
      <c r="L818" s="5"/>
      <c r="M818" s="12"/>
    </row>
    <row r="819" spans="7:13" x14ac:dyDescent="0.25">
      <c r="G819" s="9"/>
      <c r="H819" s="9"/>
      <c r="I819" s="15"/>
      <c r="J819" s="12"/>
      <c r="K819" s="12"/>
      <c r="L819" s="5"/>
      <c r="M819" s="12"/>
    </row>
    <row r="820" spans="7:13" x14ac:dyDescent="0.25">
      <c r="G820" s="9"/>
      <c r="H820" s="9"/>
      <c r="I820" s="15"/>
      <c r="J820" s="12"/>
      <c r="K820" s="12"/>
      <c r="L820" s="5"/>
      <c r="M820" s="12"/>
    </row>
    <row r="821" spans="7:13" x14ac:dyDescent="0.25">
      <c r="G821" s="9"/>
      <c r="H821" s="9"/>
      <c r="I821" s="15"/>
      <c r="J821" s="12"/>
      <c r="K821" s="12"/>
      <c r="L821" s="5"/>
      <c r="M821" s="12"/>
    </row>
    <row r="822" spans="7:13" x14ac:dyDescent="0.25">
      <c r="G822" s="9"/>
      <c r="H822" s="9"/>
      <c r="I822" s="15"/>
      <c r="J822" s="12"/>
      <c r="K822" s="12"/>
      <c r="L822" s="5"/>
      <c r="M822" s="12"/>
    </row>
    <row r="823" spans="7:13" x14ac:dyDescent="0.25">
      <c r="G823" s="9"/>
      <c r="H823" s="9"/>
      <c r="I823" s="15"/>
      <c r="J823" s="12"/>
      <c r="K823" s="12"/>
      <c r="L823" s="5"/>
      <c r="M823" s="12"/>
    </row>
    <row r="824" spans="7:13" x14ac:dyDescent="0.25">
      <c r="G824" s="9"/>
      <c r="H824" s="9"/>
      <c r="I824" s="15"/>
      <c r="J824" s="12"/>
      <c r="K824" s="12"/>
      <c r="L824" s="5"/>
      <c r="M824" s="12"/>
    </row>
    <row r="825" spans="7:13" x14ac:dyDescent="0.25">
      <c r="G825" s="9"/>
      <c r="H825" s="9"/>
      <c r="I825" s="15"/>
      <c r="J825" s="12"/>
      <c r="K825" s="12"/>
      <c r="L825" s="5"/>
      <c r="M825" s="12"/>
    </row>
    <row r="826" spans="7:13" x14ac:dyDescent="0.25">
      <c r="G826" s="9"/>
      <c r="H826" s="9"/>
      <c r="I826" s="15"/>
      <c r="J826" s="12"/>
      <c r="K826" s="12"/>
      <c r="L826" s="5"/>
      <c r="M826" s="12"/>
    </row>
    <row r="827" spans="7:13" x14ac:dyDescent="0.25">
      <c r="G827" s="9"/>
      <c r="H827" s="9"/>
      <c r="I827" s="15"/>
      <c r="J827" s="12"/>
      <c r="K827" s="12"/>
      <c r="L827" s="5"/>
      <c r="M827" s="12"/>
    </row>
    <row r="828" spans="7:13" x14ac:dyDescent="0.25">
      <c r="G828" s="9"/>
      <c r="H828" s="9"/>
      <c r="I828" s="15"/>
      <c r="J828" s="12"/>
      <c r="K828" s="12"/>
      <c r="L828" s="5"/>
      <c r="M828" s="12"/>
    </row>
    <row r="829" spans="7:13" x14ac:dyDescent="0.25">
      <c r="G829" s="9"/>
      <c r="H829" s="9"/>
      <c r="I829" s="15"/>
      <c r="J829" s="12"/>
      <c r="K829" s="12"/>
      <c r="L829" s="5"/>
      <c r="M829" s="12"/>
    </row>
    <row r="830" spans="7:13" x14ac:dyDescent="0.25">
      <c r="G830" s="9"/>
      <c r="H830" s="9"/>
      <c r="I830" s="15"/>
      <c r="J830" s="12"/>
      <c r="K830" s="12"/>
      <c r="L830" s="5"/>
      <c r="M830" s="12"/>
    </row>
    <row r="831" spans="7:13" x14ac:dyDescent="0.25">
      <c r="G831" s="9"/>
      <c r="H831" s="9"/>
      <c r="I831" s="15"/>
      <c r="J831" s="12"/>
      <c r="K831" s="12"/>
      <c r="L831" s="5"/>
      <c r="M831" s="12"/>
    </row>
    <row r="832" spans="7:13" x14ac:dyDescent="0.25">
      <c r="G832" s="9"/>
      <c r="H832" s="9"/>
      <c r="I832" s="15"/>
      <c r="J832" s="12"/>
      <c r="K832" s="12"/>
      <c r="L832" s="5"/>
      <c r="M832" s="12"/>
    </row>
    <row r="833" spans="7:13" x14ac:dyDescent="0.25">
      <c r="G833" s="9"/>
      <c r="H833" s="9"/>
      <c r="I833" s="15"/>
      <c r="J833" s="12"/>
      <c r="K833" s="12"/>
      <c r="L833" s="5"/>
      <c r="M833" s="12"/>
    </row>
    <row r="834" spans="7:13" x14ac:dyDescent="0.25">
      <c r="G834" s="9"/>
      <c r="H834" s="9"/>
      <c r="I834" s="15"/>
      <c r="J834" s="12"/>
      <c r="K834" s="12"/>
      <c r="L834" s="5"/>
      <c r="M834" s="12"/>
    </row>
    <row r="835" spans="7:13" x14ac:dyDescent="0.25">
      <c r="G835" s="9"/>
      <c r="H835" s="9"/>
      <c r="I835" s="15"/>
      <c r="J835" s="12"/>
      <c r="K835" s="12"/>
      <c r="L835" s="5"/>
      <c r="M835" s="12"/>
    </row>
    <row r="836" spans="7:13" x14ac:dyDescent="0.25">
      <c r="G836" s="9"/>
      <c r="H836" s="9"/>
      <c r="I836" s="15"/>
      <c r="J836" s="12"/>
      <c r="K836" s="12"/>
      <c r="L836" s="5"/>
      <c r="M836" s="12"/>
    </row>
    <row r="837" spans="7:13" x14ac:dyDescent="0.25">
      <c r="G837" s="9"/>
      <c r="H837" s="9"/>
      <c r="I837" s="15"/>
      <c r="J837" s="12"/>
      <c r="K837" s="12"/>
      <c r="L837" s="5"/>
      <c r="M837" s="12"/>
    </row>
    <row r="838" spans="7:13" x14ac:dyDescent="0.25">
      <c r="G838" s="9"/>
      <c r="H838" s="9"/>
      <c r="I838" s="15"/>
      <c r="J838" s="12"/>
      <c r="K838" s="12"/>
      <c r="L838" s="5"/>
      <c r="M838" s="12"/>
    </row>
    <row r="839" spans="7:13" x14ac:dyDescent="0.25">
      <c r="G839" s="9"/>
      <c r="H839" s="9"/>
      <c r="I839" s="15"/>
      <c r="J839" s="12"/>
      <c r="K839" s="12"/>
      <c r="L839" s="5"/>
      <c r="M839" s="12"/>
    </row>
    <row r="840" spans="7:13" x14ac:dyDescent="0.25">
      <c r="G840" s="9"/>
      <c r="H840" s="9"/>
      <c r="I840" s="15"/>
      <c r="J840" s="12"/>
      <c r="K840" s="12"/>
      <c r="L840" s="5"/>
      <c r="M840" s="12"/>
    </row>
    <row r="841" spans="7:13" x14ac:dyDescent="0.25">
      <c r="G841" s="9"/>
      <c r="H841" s="9"/>
      <c r="I841" s="15"/>
      <c r="J841" s="12"/>
      <c r="K841" s="12"/>
      <c r="L841" s="5"/>
      <c r="M841" s="12"/>
    </row>
    <row r="842" spans="7:13" x14ac:dyDescent="0.25">
      <c r="G842" s="9"/>
      <c r="H842" s="9"/>
      <c r="I842" s="15"/>
      <c r="J842" s="12"/>
      <c r="K842" s="12"/>
      <c r="L842" s="5"/>
      <c r="M842" s="12"/>
    </row>
    <row r="843" spans="7:13" x14ac:dyDescent="0.25">
      <c r="G843" s="9"/>
      <c r="H843" s="9"/>
      <c r="I843" s="15"/>
      <c r="J843" s="12"/>
      <c r="K843" s="12"/>
      <c r="L843" s="5"/>
      <c r="M843" s="12"/>
    </row>
    <row r="844" spans="7:13" x14ac:dyDescent="0.25">
      <c r="G844" s="9"/>
      <c r="H844" s="9"/>
      <c r="I844" s="15"/>
      <c r="J844" s="12"/>
      <c r="K844" s="12"/>
      <c r="L844" s="5"/>
      <c r="M844" s="12"/>
    </row>
    <row r="845" spans="7:13" x14ac:dyDescent="0.25">
      <c r="G845" s="9"/>
      <c r="H845" s="9"/>
      <c r="I845" s="15"/>
      <c r="J845" s="12"/>
      <c r="K845" s="12"/>
      <c r="L845" s="5"/>
      <c r="M845" s="12"/>
    </row>
    <row r="846" spans="7:13" x14ac:dyDescent="0.25">
      <c r="G846" s="9"/>
      <c r="H846" s="9"/>
      <c r="I846" s="15"/>
      <c r="J846" s="12"/>
      <c r="K846" s="12"/>
      <c r="L846" s="5"/>
      <c r="M846" s="12"/>
    </row>
    <row r="847" spans="7:13" x14ac:dyDescent="0.25">
      <c r="G847" s="9"/>
      <c r="H847" s="9"/>
      <c r="I847" s="15"/>
      <c r="J847" s="12"/>
      <c r="K847" s="12"/>
      <c r="L847" s="5"/>
      <c r="M847" s="12"/>
    </row>
    <row r="848" spans="7:13" x14ac:dyDescent="0.25">
      <c r="G848" s="9"/>
      <c r="H848" s="9"/>
      <c r="I848" s="15"/>
      <c r="J848" s="12"/>
      <c r="K848" s="12"/>
      <c r="L848" s="5"/>
      <c r="M848" s="12"/>
    </row>
    <row r="849" spans="7:13" x14ac:dyDescent="0.25">
      <c r="G849" s="9"/>
      <c r="H849" s="9"/>
      <c r="I849" s="15"/>
      <c r="J849" s="12"/>
      <c r="K849" s="12"/>
      <c r="L849" s="5"/>
      <c r="M849" s="12"/>
    </row>
    <row r="850" spans="7:13" x14ac:dyDescent="0.25">
      <c r="G850" s="9"/>
      <c r="H850" s="9"/>
      <c r="I850" s="15"/>
      <c r="J850" s="12"/>
      <c r="K850" s="12"/>
      <c r="L850" s="5"/>
      <c r="M850" s="12"/>
    </row>
    <row r="851" spans="7:13" x14ac:dyDescent="0.25">
      <c r="G851" s="9"/>
      <c r="H851" s="9"/>
      <c r="I851" s="15"/>
      <c r="J851" s="12"/>
      <c r="K851" s="12"/>
      <c r="L851" s="5"/>
      <c r="M851" s="12"/>
    </row>
    <row r="852" spans="7:13" x14ac:dyDescent="0.25">
      <c r="G852" s="9"/>
      <c r="H852" s="9"/>
      <c r="I852" s="15"/>
      <c r="J852" s="12"/>
      <c r="K852" s="12"/>
      <c r="L852" s="5"/>
      <c r="M852" s="12"/>
    </row>
    <row r="853" spans="7:13" x14ac:dyDescent="0.25">
      <c r="G853" s="9"/>
      <c r="H853" s="9"/>
      <c r="I853" s="15"/>
      <c r="J853" s="12"/>
      <c r="K853" s="12"/>
      <c r="L853" s="5"/>
      <c r="M853" s="12"/>
    </row>
    <row r="854" spans="7:13" x14ac:dyDescent="0.25">
      <c r="G854" s="9"/>
      <c r="H854" s="9"/>
      <c r="I854" s="15"/>
      <c r="J854" s="12"/>
      <c r="K854" s="12"/>
      <c r="L854" s="5"/>
      <c r="M854" s="12"/>
    </row>
    <row r="855" spans="7:13" x14ac:dyDescent="0.25">
      <c r="G855" s="9"/>
      <c r="H855" s="9"/>
      <c r="I855" s="15"/>
      <c r="J855" s="12"/>
      <c r="K855" s="12"/>
      <c r="L855" s="5"/>
      <c r="M855" s="12"/>
    </row>
    <row r="856" spans="7:13" x14ac:dyDescent="0.25">
      <c r="G856" s="9"/>
      <c r="H856" s="9"/>
      <c r="I856" s="15"/>
      <c r="J856" s="12"/>
      <c r="K856" s="12"/>
      <c r="L856" s="5"/>
      <c r="M856" s="12"/>
    </row>
    <row r="857" spans="7:13" x14ac:dyDescent="0.25">
      <c r="G857" s="9"/>
      <c r="H857" s="9"/>
      <c r="I857" s="15"/>
      <c r="J857" s="12"/>
      <c r="K857" s="12"/>
      <c r="L857" s="5"/>
      <c r="M857" s="12"/>
    </row>
    <row r="858" spans="7:13" x14ac:dyDescent="0.25">
      <c r="G858" s="9"/>
      <c r="H858" s="9"/>
      <c r="I858" s="15"/>
      <c r="J858" s="12"/>
      <c r="K858" s="12"/>
      <c r="L858" s="5"/>
      <c r="M858" s="12"/>
    </row>
    <row r="859" spans="7:13" x14ac:dyDescent="0.25">
      <c r="G859" s="9"/>
      <c r="H859" s="9"/>
      <c r="I859" s="15"/>
      <c r="J859" s="12"/>
      <c r="K859" s="12"/>
      <c r="L859" s="5"/>
      <c r="M859" s="12"/>
    </row>
    <row r="860" spans="7:13" x14ac:dyDescent="0.25">
      <c r="G860" s="9"/>
      <c r="H860" s="9"/>
      <c r="I860" s="15"/>
      <c r="J860" s="12"/>
      <c r="K860" s="12"/>
      <c r="L860" s="5"/>
      <c r="M860" s="12"/>
    </row>
    <row r="861" spans="7:13" x14ac:dyDescent="0.25">
      <c r="G861" s="9"/>
      <c r="H861" s="9"/>
      <c r="I861" s="15"/>
      <c r="J861" s="12"/>
      <c r="K861" s="12"/>
      <c r="L861" s="5"/>
      <c r="M861" s="12"/>
    </row>
    <row r="862" spans="7:13" x14ac:dyDescent="0.25">
      <c r="G862" s="9"/>
      <c r="H862" s="9"/>
      <c r="I862" s="15"/>
      <c r="J862" s="12"/>
      <c r="K862" s="12"/>
      <c r="L862" s="5"/>
      <c r="M862" s="12"/>
    </row>
    <row r="863" spans="7:13" x14ac:dyDescent="0.25">
      <c r="G863" s="9"/>
      <c r="H863" s="9"/>
      <c r="I863" s="15"/>
      <c r="J863" s="12"/>
      <c r="K863" s="12"/>
      <c r="L863" s="5"/>
      <c r="M863" s="12"/>
    </row>
    <row r="864" spans="7:13" x14ac:dyDescent="0.25">
      <c r="G864" s="9"/>
      <c r="H864" s="9"/>
      <c r="I864" s="15"/>
      <c r="J864" s="12"/>
      <c r="K864" s="12"/>
      <c r="L864" s="5"/>
      <c r="M864" s="12"/>
    </row>
    <row r="865" spans="7:13" x14ac:dyDescent="0.25">
      <c r="G865" s="9"/>
      <c r="H865" s="9"/>
      <c r="I865" s="15"/>
      <c r="J865" s="12"/>
      <c r="K865" s="12"/>
      <c r="L865" s="5"/>
      <c r="M865" s="12"/>
    </row>
    <row r="866" spans="7:13" x14ac:dyDescent="0.25">
      <c r="G866" s="9"/>
      <c r="H866" s="9"/>
      <c r="I866" s="15"/>
      <c r="J866" s="12"/>
      <c r="K866" s="12"/>
      <c r="L866" s="5"/>
      <c r="M866" s="12"/>
    </row>
    <row r="867" spans="7:13" x14ac:dyDescent="0.25">
      <c r="G867" s="9"/>
      <c r="H867" s="9"/>
      <c r="I867" s="15"/>
      <c r="J867" s="12"/>
      <c r="K867" s="12"/>
      <c r="L867" s="5"/>
      <c r="M867" s="12"/>
    </row>
    <row r="868" spans="7:13" x14ac:dyDescent="0.25">
      <c r="G868" s="9"/>
      <c r="H868" s="9"/>
      <c r="I868" s="15"/>
      <c r="J868" s="12"/>
      <c r="K868" s="12"/>
      <c r="L868" s="5"/>
      <c r="M868" s="12"/>
    </row>
    <row r="869" spans="7:13" x14ac:dyDescent="0.25">
      <c r="G869" s="9"/>
      <c r="H869" s="9"/>
      <c r="I869" s="15"/>
      <c r="J869" s="12"/>
      <c r="K869" s="12"/>
      <c r="L869" s="5"/>
      <c r="M869" s="12"/>
    </row>
    <row r="870" spans="7:13" x14ac:dyDescent="0.25">
      <c r="G870" s="9"/>
      <c r="H870" s="9"/>
      <c r="I870" s="15"/>
      <c r="J870" s="12"/>
      <c r="K870" s="12"/>
      <c r="L870" s="5"/>
      <c r="M870" s="12"/>
    </row>
    <row r="871" spans="7:13" x14ac:dyDescent="0.25">
      <c r="G871" s="9"/>
      <c r="H871" s="9"/>
      <c r="I871" s="15"/>
      <c r="J871" s="12"/>
      <c r="K871" s="12"/>
      <c r="L871" s="5"/>
      <c r="M871" s="12"/>
    </row>
    <row r="872" spans="7:13" x14ac:dyDescent="0.25">
      <c r="G872" s="9"/>
      <c r="H872" s="9"/>
      <c r="I872" s="15"/>
      <c r="J872" s="12"/>
      <c r="K872" s="12"/>
      <c r="L872" s="5"/>
      <c r="M872" s="12"/>
    </row>
    <row r="873" spans="7:13" x14ac:dyDescent="0.25">
      <c r="G873" s="9"/>
      <c r="H873" s="9"/>
      <c r="I873" s="15"/>
      <c r="J873" s="12"/>
      <c r="K873" s="12"/>
      <c r="L873" s="5"/>
      <c r="M873" s="12"/>
    </row>
    <row r="874" spans="7:13" x14ac:dyDescent="0.25">
      <c r="G874" s="9"/>
      <c r="H874" s="9"/>
      <c r="I874" s="15"/>
      <c r="J874" s="12"/>
      <c r="K874" s="12"/>
      <c r="L874" s="5"/>
      <c r="M874" s="12"/>
    </row>
    <row r="875" spans="7:13" x14ac:dyDescent="0.25">
      <c r="G875" s="9"/>
      <c r="H875" s="9"/>
      <c r="I875" s="15"/>
      <c r="J875" s="12"/>
      <c r="K875" s="12"/>
      <c r="L875" s="5"/>
      <c r="M875" s="12"/>
    </row>
    <row r="876" spans="7:13" x14ac:dyDescent="0.25">
      <c r="G876" s="9"/>
      <c r="H876" s="9"/>
      <c r="I876" s="15"/>
      <c r="J876" s="12"/>
      <c r="K876" s="12"/>
      <c r="L876" s="5"/>
      <c r="M876" s="12"/>
    </row>
    <row r="877" spans="7:13" x14ac:dyDescent="0.25">
      <c r="G877" s="9"/>
      <c r="H877" s="9"/>
      <c r="I877" s="15"/>
      <c r="J877" s="12"/>
      <c r="K877" s="12"/>
      <c r="L877" s="5"/>
      <c r="M877" s="12"/>
    </row>
    <row r="878" spans="7:13" x14ac:dyDescent="0.25">
      <c r="G878" s="9"/>
      <c r="H878" s="9"/>
      <c r="I878" s="15"/>
      <c r="J878" s="12"/>
      <c r="K878" s="12"/>
      <c r="L878" s="5"/>
      <c r="M878" s="12"/>
    </row>
    <row r="879" spans="7:13" x14ac:dyDescent="0.25">
      <c r="G879" s="9"/>
      <c r="H879" s="9"/>
      <c r="I879" s="15"/>
      <c r="J879" s="12"/>
      <c r="K879" s="12"/>
      <c r="L879" s="5"/>
      <c r="M879" s="12"/>
    </row>
    <row r="880" spans="7:13" x14ac:dyDescent="0.25">
      <c r="G880" s="9"/>
      <c r="H880" s="9"/>
      <c r="I880" s="15"/>
      <c r="J880" s="12"/>
      <c r="K880" s="12"/>
      <c r="L880" s="5"/>
      <c r="M880" s="12"/>
    </row>
    <row r="881" spans="7:13" x14ac:dyDescent="0.25">
      <c r="G881" s="9"/>
      <c r="H881" s="9"/>
      <c r="I881" s="15"/>
      <c r="J881" s="12"/>
      <c r="K881" s="12"/>
      <c r="L881" s="5"/>
      <c r="M881" s="12"/>
    </row>
    <row r="882" spans="7:13" x14ac:dyDescent="0.25">
      <c r="G882" s="9"/>
      <c r="H882" s="9"/>
      <c r="I882" s="15"/>
      <c r="J882" s="12"/>
      <c r="K882" s="12"/>
      <c r="L882" s="5"/>
      <c r="M882" s="12"/>
    </row>
    <row r="883" spans="7:13" x14ac:dyDescent="0.25">
      <c r="G883" s="9"/>
      <c r="H883" s="9"/>
      <c r="I883" s="15"/>
      <c r="J883" s="12"/>
      <c r="K883" s="12"/>
      <c r="L883" s="5"/>
      <c r="M883" s="12"/>
    </row>
    <row r="884" spans="7:13" x14ac:dyDescent="0.25">
      <c r="G884" s="9"/>
      <c r="H884" s="9"/>
      <c r="I884" s="15"/>
      <c r="J884" s="12"/>
      <c r="K884" s="12"/>
      <c r="L884" s="5"/>
      <c r="M884" s="12"/>
    </row>
    <row r="885" spans="7:13" x14ac:dyDescent="0.25">
      <c r="G885" s="9"/>
      <c r="H885" s="9"/>
      <c r="I885" s="15"/>
      <c r="J885" s="12"/>
      <c r="K885" s="12"/>
      <c r="L885" s="5"/>
      <c r="M885" s="12"/>
    </row>
    <row r="886" spans="7:13" x14ac:dyDescent="0.25">
      <c r="G886" s="9"/>
      <c r="H886" s="9"/>
      <c r="I886" s="15"/>
      <c r="J886" s="12"/>
      <c r="K886" s="12"/>
      <c r="L886" s="5"/>
      <c r="M886" s="12"/>
    </row>
    <row r="887" spans="7:13" x14ac:dyDescent="0.25">
      <c r="G887" s="9"/>
      <c r="H887" s="9"/>
      <c r="I887" s="15"/>
      <c r="J887" s="12"/>
      <c r="K887" s="12"/>
      <c r="L887" s="5"/>
      <c r="M887" s="12"/>
    </row>
    <row r="888" spans="7:13" x14ac:dyDescent="0.25">
      <c r="G888" s="9"/>
      <c r="H888" s="9"/>
      <c r="I888" s="15"/>
      <c r="J888" s="12"/>
      <c r="K888" s="12"/>
      <c r="L888" s="5"/>
      <c r="M888" s="12"/>
    </row>
    <row r="889" spans="7:13" x14ac:dyDescent="0.25">
      <c r="G889" s="9"/>
      <c r="H889" s="9"/>
      <c r="I889" s="15"/>
      <c r="J889" s="12"/>
      <c r="K889" s="12"/>
      <c r="L889" s="5"/>
      <c r="M889" s="12"/>
    </row>
    <row r="890" spans="7:13" x14ac:dyDescent="0.25">
      <c r="G890" s="9"/>
      <c r="H890" s="9"/>
      <c r="I890" s="15"/>
      <c r="J890" s="12"/>
      <c r="K890" s="12"/>
      <c r="L890" s="5"/>
      <c r="M890" s="12"/>
    </row>
    <row r="891" spans="7:13" x14ac:dyDescent="0.25">
      <c r="G891" s="9"/>
      <c r="H891" s="9"/>
      <c r="I891" s="15"/>
      <c r="J891" s="12"/>
      <c r="K891" s="12"/>
      <c r="L891" s="5"/>
      <c r="M891" s="12"/>
    </row>
    <row r="892" spans="7:13" x14ac:dyDescent="0.25">
      <c r="G892" s="9"/>
      <c r="H892" s="9"/>
      <c r="I892" s="15"/>
      <c r="J892" s="12"/>
      <c r="K892" s="12"/>
      <c r="L892" s="5"/>
      <c r="M892" s="12"/>
    </row>
    <row r="893" spans="7:13" x14ac:dyDescent="0.25">
      <c r="G893" s="9"/>
      <c r="H893" s="9"/>
      <c r="I893" s="15"/>
      <c r="J893" s="12"/>
      <c r="K893" s="12"/>
      <c r="L893" s="5"/>
      <c r="M893" s="12"/>
    </row>
    <row r="894" spans="7:13" x14ac:dyDescent="0.25">
      <c r="G894" s="9"/>
      <c r="H894" s="9"/>
      <c r="I894" s="15"/>
      <c r="J894" s="12"/>
      <c r="K894" s="12"/>
      <c r="L894" s="5"/>
      <c r="M894" s="12"/>
    </row>
    <row r="895" spans="7:13" x14ac:dyDescent="0.25">
      <c r="G895" s="9"/>
      <c r="H895" s="9"/>
      <c r="I895" s="15"/>
      <c r="J895" s="12"/>
      <c r="K895" s="12"/>
      <c r="L895" s="5"/>
      <c r="M895" s="12"/>
    </row>
    <row r="896" spans="7:13" x14ac:dyDescent="0.25">
      <c r="G896" s="9"/>
      <c r="H896" s="9"/>
      <c r="I896" s="15"/>
      <c r="J896" s="12"/>
      <c r="K896" s="12"/>
      <c r="L896" s="5"/>
      <c r="M896" s="12"/>
    </row>
    <row r="897" spans="3:13" x14ac:dyDescent="0.25">
      <c r="C897" t="e">
        <f>VLOOKUP(B897,Table_TechBridge_Task_8_Dataset[#All],2,FALSE)</f>
        <v>#N/A</v>
      </c>
      <c r="G897" s="9"/>
      <c r="H897" s="9"/>
      <c r="I897" s="15"/>
      <c r="J897" s="12"/>
      <c r="K897" s="12"/>
      <c r="L897" s="5"/>
      <c r="M897" s="12"/>
    </row>
    <row r="898" spans="3:13" x14ac:dyDescent="0.25">
      <c r="C898" t="e">
        <f>VLOOKUP(B898,Table_TechBridge_Task_8_Dataset[#All],2,FALSE)</f>
        <v>#N/A</v>
      </c>
      <c r="G898" s="9"/>
      <c r="H898" s="9"/>
      <c r="I898" s="15"/>
      <c r="J898" s="12"/>
      <c r="K898" s="12"/>
      <c r="L898" s="5"/>
      <c r="M898" s="12"/>
    </row>
    <row r="899" spans="3:13" x14ac:dyDescent="0.25">
      <c r="C899" t="e">
        <f>VLOOKUP(B899,Table_TechBridge_Task_8_Dataset[#All],2,FALSE)</f>
        <v>#N/A</v>
      </c>
      <c r="G899" s="9"/>
      <c r="H899" s="9"/>
      <c r="I899" s="15"/>
      <c r="J899" s="12"/>
      <c r="K899" s="12"/>
      <c r="L899" s="5"/>
      <c r="M899" s="12"/>
    </row>
    <row r="900" spans="3:13" x14ac:dyDescent="0.25">
      <c r="C900" t="e">
        <f>VLOOKUP(B900,Table_TechBridge_Task_8_Dataset[#All],2,FALSE)</f>
        <v>#N/A</v>
      </c>
      <c r="G900" s="9"/>
      <c r="H900" s="9"/>
      <c r="I900" s="15"/>
      <c r="J900" s="12"/>
      <c r="K900" s="12"/>
      <c r="L900" s="5"/>
      <c r="M900" s="12"/>
    </row>
    <row r="901" spans="3:13" x14ac:dyDescent="0.25">
      <c r="C901" t="e">
        <f>VLOOKUP(B901,Table_TechBridge_Task_8_Dataset[#All],2,FALSE)</f>
        <v>#N/A</v>
      </c>
      <c r="G901" s="9"/>
      <c r="H901" s="9"/>
      <c r="I901" s="15"/>
      <c r="J901" s="12"/>
      <c r="K901" s="12"/>
      <c r="L901" s="5"/>
      <c r="M901" s="12"/>
    </row>
    <row r="902" spans="3:13" x14ac:dyDescent="0.25">
      <c r="C902" t="e">
        <f>VLOOKUP(B902,Table_TechBridge_Task_8_Dataset[#All],2,FALSE)</f>
        <v>#N/A</v>
      </c>
      <c r="G902" s="9"/>
      <c r="H902" s="9"/>
      <c r="I902" s="15"/>
      <c r="J902" s="12"/>
      <c r="K902" s="12"/>
      <c r="L902" s="5"/>
      <c r="M902" s="12"/>
    </row>
    <row r="903" spans="3:13" x14ac:dyDescent="0.25">
      <c r="C903" t="e">
        <f>VLOOKUP(B903,Table_TechBridge_Task_8_Dataset[#All],2,FALSE)</f>
        <v>#N/A</v>
      </c>
      <c r="G903" s="9"/>
      <c r="H903" s="9"/>
      <c r="I903" s="15"/>
      <c r="J903" s="12"/>
      <c r="K903" s="12"/>
      <c r="L903" s="5"/>
      <c r="M903" s="12"/>
    </row>
    <row r="904" spans="3:13" x14ac:dyDescent="0.25">
      <c r="C904" t="e">
        <f>VLOOKUP(B904,Table_TechBridge_Task_8_Dataset[#All],2,FALSE)</f>
        <v>#N/A</v>
      </c>
      <c r="G904" s="9"/>
      <c r="H904" s="9"/>
      <c r="I904" s="15"/>
      <c r="J904" s="12"/>
      <c r="K904" s="12"/>
      <c r="L904" s="5"/>
      <c r="M904" s="12"/>
    </row>
    <row r="905" spans="3:13" x14ac:dyDescent="0.25">
      <c r="C905" t="e">
        <f>VLOOKUP(B905,Table_TechBridge_Task_8_Dataset[#All],2,FALSE)</f>
        <v>#N/A</v>
      </c>
      <c r="G905" s="9"/>
      <c r="H905" s="9"/>
      <c r="I905" s="15"/>
      <c r="J905" s="12"/>
      <c r="K905" s="12"/>
      <c r="L905" s="5"/>
      <c r="M905" s="12"/>
    </row>
    <row r="906" spans="3:13" x14ac:dyDescent="0.25">
      <c r="C906" t="e">
        <f>VLOOKUP(B906,Table_TechBridge_Task_8_Dataset[#All],2,FALSE)</f>
        <v>#N/A</v>
      </c>
      <c r="G906" s="9"/>
      <c r="H906" s="9"/>
      <c r="I906" s="15"/>
      <c r="J906" s="12"/>
      <c r="K906" s="12"/>
      <c r="L906" s="5"/>
      <c r="M906" s="12"/>
    </row>
    <row r="907" spans="3:13" x14ac:dyDescent="0.25">
      <c r="C907" t="e">
        <f>VLOOKUP(B907,Table_TechBridge_Task_8_Dataset[#All],2,FALSE)</f>
        <v>#N/A</v>
      </c>
      <c r="G907" s="9"/>
      <c r="H907" s="9"/>
      <c r="I907" s="15"/>
      <c r="J907" s="12"/>
      <c r="K907" s="12"/>
      <c r="L907" s="5"/>
      <c r="M907" s="12"/>
    </row>
    <row r="908" spans="3:13" x14ac:dyDescent="0.25">
      <c r="C908" t="e">
        <f>VLOOKUP(B908,Table_TechBridge_Task_8_Dataset[#All],2,FALSE)</f>
        <v>#N/A</v>
      </c>
      <c r="G908" s="9"/>
      <c r="H908" s="9"/>
      <c r="I908" s="15"/>
      <c r="J908" s="12"/>
      <c r="K908" s="12"/>
      <c r="L908" s="5"/>
      <c r="M908" s="12"/>
    </row>
    <row r="909" spans="3:13" x14ac:dyDescent="0.25">
      <c r="C909" t="e">
        <f>VLOOKUP(B909,Table_TechBridge_Task_8_Dataset[#All],2,FALSE)</f>
        <v>#N/A</v>
      </c>
      <c r="G909" s="9"/>
      <c r="H909" s="9"/>
      <c r="I909" s="15"/>
      <c r="J909" s="12"/>
      <c r="K909" s="12"/>
      <c r="L909" s="5"/>
      <c r="M909" s="12"/>
    </row>
    <row r="910" spans="3:13" x14ac:dyDescent="0.25">
      <c r="C910" t="e">
        <f>VLOOKUP(B910,Table_TechBridge_Task_8_Dataset[#All],2,FALSE)</f>
        <v>#N/A</v>
      </c>
      <c r="G910" s="9"/>
      <c r="H910" s="9"/>
      <c r="I910" s="15"/>
      <c r="J910" s="12"/>
      <c r="K910" s="12"/>
      <c r="L910" s="5"/>
      <c r="M910" s="12"/>
    </row>
    <row r="911" spans="3:13" x14ac:dyDescent="0.25">
      <c r="C911" t="e">
        <f>VLOOKUP(B911,Table_TechBridge_Task_8_Dataset[#All],2,FALSE)</f>
        <v>#N/A</v>
      </c>
      <c r="G911" s="9"/>
      <c r="H911" s="9"/>
      <c r="I911" s="15"/>
      <c r="J911" s="12"/>
      <c r="K911" s="12"/>
      <c r="L911" s="5"/>
      <c r="M911" s="12"/>
    </row>
    <row r="912" spans="3:13" x14ac:dyDescent="0.25">
      <c r="C912" t="e">
        <f>VLOOKUP(B912,Table_TechBridge_Task_8_Dataset[#All],2,FALSE)</f>
        <v>#N/A</v>
      </c>
      <c r="G912" s="9"/>
      <c r="H912" s="9"/>
      <c r="I912" s="15"/>
      <c r="J912" s="12"/>
      <c r="K912" s="12"/>
      <c r="L912" s="5"/>
      <c r="M912" s="12"/>
    </row>
    <row r="913" spans="3:13" x14ac:dyDescent="0.25">
      <c r="C913" t="e">
        <f>VLOOKUP(B913,Table_TechBridge_Task_8_Dataset[#All],2,FALSE)</f>
        <v>#N/A</v>
      </c>
      <c r="G913" s="9"/>
      <c r="H913" s="9"/>
      <c r="I913" s="15"/>
      <c r="J913" s="12"/>
      <c r="K913" s="12"/>
      <c r="L913" s="5"/>
      <c r="M913" s="12"/>
    </row>
    <row r="914" spans="3:13" x14ac:dyDescent="0.25">
      <c r="C914" t="e">
        <f>VLOOKUP(B914,Table_TechBridge_Task_8_Dataset[#All],2,FALSE)</f>
        <v>#N/A</v>
      </c>
      <c r="G914" s="9"/>
      <c r="H914" s="9"/>
      <c r="I914" s="15"/>
      <c r="J914" s="12"/>
      <c r="K914" s="12"/>
      <c r="L914" s="5"/>
      <c r="M914" s="12"/>
    </row>
    <row r="915" spans="3:13" x14ac:dyDescent="0.25">
      <c r="C915" t="e">
        <f>VLOOKUP(B915,Table_TechBridge_Task_8_Dataset[#All],2,FALSE)</f>
        <v>#N/A</v>
      </c>
      <c r="G915" s="9"/>
      <c r="H915" s="9"/>
      <c r="I915" s="15"/>
      <c r="J915" s="12"/>
      <c r="K915" s="12"/>
      <c r="L915" s="5"/>
      <c r="M915" s="12"/>
    </row>
    <row r="916" spans="3:13" x14ac:dyDescent="0.25">
      <c r="C916" t="e">
        <f>VLOOKUP(B916,Table_TechBridge_Task_8_Dataset[#All],2,FALSE)</f>
        <v>#N/A</v>
      </c>
      <c r="G916" s="9"/>
      <c r="H916" s="9"/>
      <c r="I916" s="15"/>
      <c r="J916" s="12"/>
      <c r="K916" s="12"/>
      <c r="L916" s="5"/>
      <c r="M916" s="12"/>
    </row>
    <row r="917" spans="3:13" x14ac:dyDescent="0.25">
      <c r="C917" t="e">
        <f>VLOOKUP(B917,Table_TechBridge_Task_8_Dataset[#All],2,FALSE)</f>
        <v>#N/A</v>
      </c>
      <c r="G917" s="9"/>
      <c r="H917" s="9"/>
      <c r="I917" s="15"/>
      <c r="J917" s="12"/>
      <c r="K917" s="12"/>
      <c r="L917" s="5"/>
      <c r="M917" s="12"/>
    </row>
    <row r="918" spans="3:13" x14ac:dyDescent="0.25">
      <c r="C918" t="e">
        <f>VLOOKUP(B918,Table_TechBridge_Task_8_Dataset[#All],2,FALSE)</f>
        <v>#N/A</v>
      </c>
      <c r="G918" s="9"/>
      <c r="H918" s="9"/>
      <c r="I918" s="15"/>
      <c r="J918" s="12"/>
      <c r="K918" s="12"/>
      <c r="L918" s="5"/>
      <c r="M918" s="12"/>
    </row>
    <row r="919" spans="3:13" x14ac:dyDescent="0.25">
      <c r="C919" t="e">
        <f>VLOOKUP(B919,Table_TechBridge_Task_8_Dataset[#All],2,FALSE)</f>
        <v>#N/A</v>
      </c>
      <c r="G919" s="9"/>
      <c r="H919" s="9"/>
      <c r="I919" s="15"/>
      <c r="J919" s="12"/>
      <c r="K919" s="12"/>
      <c r="L919" s="5"/>
      <c r="M919" s="12"/>
    </row>
    <row r="920" spans="3:13" x14ac:dyDescent="0.25">
      <c r="C920" t="e">
        <f>VLOOKUP(B920,Table_TechBridge_Task_8_Dataset[#All],2,FALSE)</f>
        <v>#N/A</v>
      </c>
      <c r="G920" s="9"/>
      <c r="H920" s="9"/>
      <c r="I920" s="15"/>
      <c r="J920" s="12"/>
      <c r="K920" s="12"/>
      <c r="L920" s="5"/>
      <c r="M920" s="12"/>
    </row>
    <row r="921" spans="3:13" x14ac:dyDescent="0.25">
      <c r="C921" t="e">
        <f>VLOOKUP(B921,Table_TechBridge_Task_8_Dataset[#All],2,FALSE)</f>
        <v>#N/A</v>
      </c>
      <c r="G921" s="9"/>
      <c r="H921" s="9"/>
      <c r="I921" s="15"/>
      <c r="J921" s="12"/>
      <c r="K921" s="12"/>
      <c r="L921" s="5"/>
      <c r="M921" s="12"/>
    </row>
    <row r="922" spans="3:13" x14ac:dyDescent="0.25">
      <c r="C922" t="e">
        <f>VLOOKUP(B922,Table_TechBridge_Task_8_Dataset[#All],2,FALSE)</f>
        <v>#N/A</v>
      </c>
      <c r="G922" s="9"/>
      <c r="H922" s="9"/>
      <c r="I922" s="15"/>
      <c r="J922" s="12"/>
      <c r="K922" s="12"/>
      <c r="L922" s="5"/>
      <c r="M922" s="12"/>
    </row>
    <row r="923" spans="3:13" x14ac:dyDescent="0.25">
      <c r="C923" t="e">
        <f>VLOOKUP(B923,Table_TechBridge_Task_8_Dataset[#All],2,FALSE)</f>
        <v>#N/A</v>
      </c>
      <c r="G923" s="9"/>
      <c r="H923" s="9"/>
      <c r="I923" s="15"/>
      <c r="J923" s="12"/>
      <c r="K923" s="12"/>
      <c r="L923" s="5"/>
      <c r="M923" s="12"/>
    </row>
    <row r="924" spans="3:13" x14ac:dyDescent="0.25">
      <c r="C924" t="e">
        <f>VLOOKUP(B924,Table_TechBridge_Task_8_Dataset[#All],2,FALSE)</f>
        <v>#N/A</v>
      </c>
      <c r="G924" s="9"/>
      <c r="H924" s="9"/>
      <c r="I924" s="15"/>
      <c r="J924" s="12"/>
      <c r="K924" s="12"/>
      <c r="L924" s="5"/>
      <c r="M924" s="12"/>
    </row>
    <row r="925" spans="3:13" x14ac:dyDescent="0.25">
      <c r="C925" t="e">
        <f>VLOOKUP(B925,Table_TechBridge_Task_8_Dataset[#All],2,FALSE)</f>
        <v>#N/A</v>
      </c>
      <c r="G925" s="9"/>
      <c r="H925" s="9"/>
      <c r="I925" s="15"/>
      <c r="J925" s="12"/>
      <c r="K925" s="12"/>
      <c r="L925" s="5"/>
      <c r="M925" s="12"/>
    </row>
    <row r="926" spans="3:13" x14ac:dyDescent="0.25">
      <c r="C926" t="e">
        <f>VLOOKUP(B926,Table_TechBridge_Task_8_Dataset[#All],2,FALSE)</f>
        <v>#N/A</v>
      </c>
      <c r="G926" s="9"/>
      <c r="H926" s="9"/>
      <c r="I926" s="15"/>
      <c r="J926" s="12"/>
      <c r="K926" s="12"/>
      <c r="L926" s="5"/>
      <c r="M926" s="12"/>
    </row>
    <row r="927" spans="3:13" x14ac:dyDescent="0.25">
      <c r="C927" t="e">
        <f>VLOOKUP(B927,Table_TechBridge_Task_8_Dataset[#All],2,FALSE)</f>
        <v>#N/A</v>
      </c>
      <c r="G927" s="9"/>
      <c r="H927" s="9"/>
      <c r="I927" s="15"/>
      <c r="J927" s="12"/>
      <c r="K927" s="12"/>
      <c r="L927" s="5"/>
      <c r="M927" s="12"/>
    </row>
    <row r="928" spans="3:13" x14ac:dyDescent="0.25">
      <c r="C928" t="e">
        <f>VLOOKUP(B928,Table_TechBridge_Task_8_Dataset[#All],2,FALSE)</f>
        <v>#N/A</v>
      </c>
      <c r="G928" s="9"/>
      <c r="H928" s="9"/>
      <c r="I928" s="15"/>
      <c r="J928" s="12"/>
      <c r="K928" s="12"/>
      <c r="L928" s="5"/>
      <c r="M928" s="12"/>
    </row>
    <row r="929" spans="3:13" x14ac:dyDescent="0.25">
      <c r="C929" t="e">
        <f>VLOOKUP(B929,Table_TechBridge_Task_8_Dataset[#All],2,FALSE)</f>
        <v>#N/A</v>
      </c>
      <c r="G929" s="9"/>
      <c r="H929" s="9"/>
      <c r="I929" s="15"/>
      <c r="J929" s="12"/>
      <c r="K929" s="12"/>
      <c r="L929" s="5"/>
      <c r="M929" s="12"/>
    </row>
    <row r="930" spans="3:13" x14ac:dyDescent="0.25">
      <c r="C930" t="e">
        <f>VLOOKUP(B930,Table_TechBridge_Task_8_Dataset[#All],2,FALSE)</f>
        <v>#N/A</v>
      </c>
      <c r="G930" s="9"/>
      <c r="H930" s="9"/>
      <c r="I930" s="15"/>
      <c r="J930" s="12"/>
      <c r="K930" s="12"/>
      <c r="L930" s="5"/>
      <c r="M930" s="12"/>
    </row>
    <row r="931" spans="3:13" x14ac:dyDescent="0.25">
      <c r="C931" t="e">
        <f>VLOOKUP(B931,Table_TechBridge_Task_8_Dataset[#All],2,FALSE)</f>
        <v>#N/A</v>
      </c>
      <c r="G931" s="9"/>
      <c r="H931" s="9"/>
      <c r="I931" s="15"/>
      <c r="J931" s="12"/>
      <c r="K931" s="12"/>
      <c r="L931" s="5"/>
      <c r="M931" s="12"/>
    </row>
    <row r="932" spans="3:13" x14ac:dyDescent="0.25">
      <c r="C932" t="e">
        <f>VLOOKUP(B932,Table_TechBridge_Task_8_Dataset[#All],2,FALSE)</f>
        <v>#N/A</v>
      </c>
      <c r="G932" s="9"/>
      <c r="H932" s="9"/>
      <c r="I932" s="15"/>
      <c r="J932" s="12"/>
      <c r="K932" s="12"/>
      <c r="L932" s="5"/>
      <c r="M932" s="12"/>
    </row>
    <row r="933" spans="3:13" x14ac:dyDescent="0.25">
      <c r="C933" t="e">
        <f>VLOOKUP(B933,Table_TechBridge_Task_8_Dataset[#All],2,FALSE)</f>
        <v>#N/A</v>
      </c>
      <c r="G933" s="9"/>
      <c r="H933" s="9"/>
      <c r="I933" s="15"/>
      <c r="J933" s="12"/>
      <c r="K933" s="12"/>
      <c r="L933" s="5"/>
      <c r="M933" s="12"/>
    </row>
    <row r="934" spans="3:13" x14ac:dyDescent="0.25">
      <c r="C934" t="e">
        <f>VLOOKUP(B934,Table_TechBridge_Task_8_Dataset[#All],2,FALSE)</f>
        <v>#N/A</v>
      </c>
      <c r="G934" s="9"/>
      <c r="H934" s="9"/>
      <c r="I934" s="15"/>
      <c r="J934" s="12"/>
      <c r="K934" s="12"/>
      <c r="L934" s="5"/>
      <c r="M934" s="12"/>
    </row>
    <row r="935" spans="3:13" x14ac:dyDescent="0.25">
      <c r="C935" t="e">
        <f>VLOOKUP(B935,Table_TechBridge_Task_8_Dataset[#All],2,FALSE)</f>
        <v>#N/A</v>
      </c>
      <c r="G935" s="9"/>
      <c r="H935" s="9"/>
      <c r="I935" s="15"/>
      <c r="J935" s="12"/>
      <c r="K935" s="12"/>
      <c r="L935" s="5"/>
      <c r="M935" s="12"/>
    </row>
    <row r="936" spans="3:13" x14ac:dyDescent="0.25">
      <c r="C936" t="e">
        <f>VLOOKUP(B936,Table_TechBridge_Task_8_Dataset[#All],2,FALSE)</f>
        <v>#N/A</v>
      </c>
      <c r="G936" s="9"/>
      <c r="H936" s="9"/>
      <c r="I936" s="15"/>
      <c r="J936" s="12"/>
      <c r="K936" s="12"/>
      <c r="L936" s="5"/>
      <c r="M936" s="12"/>
    </row>
    <row r="937" spans="3:13" x14ac:dyDescent="0.25">
      <c r="C937" t="e">
        <f>VLOOKUP(B937,Table_TechBridge_Task_8_Dataset[#All],2,FALSE)</f>
        <v>#N/A</v>
      </c>
      <c r="G937" s="9"/>
      <c r="H937" s="9"/>
      <c r="I937" s="15"/>
      <c r="J937" s="12"/>
      <c r="K937" s="12"/>
      <c r="L937" s="5"/>
      <c r="M937" s="12"/>
    </row>
    <row r="938" spans="3:13" x14ac:dyDescent="0.25">
      <c r="C938" t="e">
        <f>VLOOKUP(B938,Table_TechBridge_Task_8_Dataset[#All],2,FALSE)</f>
        <v>#N/A</v>
      </c>
      <c r="G938" s="9"/>
      <c r="H938" s="9"/>
      <c r="I938" s="15"/>
      <c r="J938" s="12"/>
      <c r="K938" s="12"/>
      <c r="L938" s="5"/>
      <c r="M938" s="12"/>
    </row>
    <row r="939" spans="3:13" x14ac:dyDescent="0.25">
      <c r="C939" t="e">
        <f>VLOOKUP(B939,Table_TechBridge_Task_8_Dataset[#All],2,FALSE)</f>
        <v>#N/A</v>
      </c>
      <c r="G939" s="9"/>
      <c r="H939" s="9"/>
      <c r="I939" s="15"/>
      <c r="J939" s="12"/>
      <c r="K939" s="12"/>
      <c r="L939" s="5"/>
      <c r="M939" s="12"/>
    </row>
    <row r="940" spans="3:13" x14ac:dyDescent="0.25">
      <c r="C940" t="e">
        <f>VLOOKUP(B940,Table_TechBridge_Task_8_Dataset[#All],2,FALSE)</f>
        <v>#N/A</v>
      </c>
      <c r="G940" s="9"/>
      <c r="H940" s="9"/>
      <c r="I940" s="15"/>
      <c r="J940" s="12"/>
      <c r="K940" s="12"/>
      <c r="L940" s="5"/>
      <c r="M940" s="12"/>
    </row>
    <row r="941" spans="3:13" x14ac:dyDescent="0.25">
      <c r="C941" t="e">
        <f>VLOOKUP(B941,Table_TechBridge_Task_8_Dataset[#All],2,FALSE)</f>
        <v>#N/A</v>
      </c>
      <c r="G941" s="9"/>
      <c r="H941" s="9"/>
      <c r="I941" s="15"/>
      <c r="J941" s="12"/>
      <c r="K941" s="12"/>
      <c r="L941" s="5"/>
      <c r="M941" s="12"/>
    </row>
    <row r="942" spans="3:13" x14ac:dyDescent="0.25">
      <c r="C942" t="e">
        <f>VLOOKUP(B942,Table_TechBridge_Task_8_Dataset[#All],2,FALSE)</f>
        <v>#N/A</v>
      </c>
      <c r="G942" s="9"/>
      <c r="H942" s="9"/>
      <c r="I942" s="15"/>
      <c r="J942" s="12"/>
      <c r="K942" s="12"/>
      <c r="L942" s="5"/>
      <c r="M942" s="12"/>
    </row>
    <row r="943" spans="3:13" x14ac:dyDescent="0.25">
      <c r="C943" t="e">
        <f>VLOOKUP(B943,Table_TechBridge_Task_8_Dataset[#All],2,FALSE)</f>
        <v>#N/A</v>
      </c>
      <c r="G943" s="9"/>
      <c r="H943" s="9"/>
      <c r="I943" s="15"/>
      <c r="J943" s="12"/>
      <c r="K943" s="12"/>
      <c r="L943" s="5"/>
      <c r="M943" s="12"/>
    </row>
    <row r="944" spans="3:13" x14ac:dyDescent="0.25">
      <c r="C944" t="e">
        <f>VLOOKUP(B944,Table_TechBridge_Task_8_Dataset[#All],2,FALSE)</f>
        <v>#N/A</v>
      </c>
      <c r="G944" s="9"/>
      <c r="H944" s="9"/>
      <c r="I944" s="15"/>
      <c r="J944" s="12"/>
      <c r="K944" s="12"/>
      <c r="L944" s="5"/>
      <c r="M944" s="12"/>
    </row>
    <row r="945" spans="3:13" x14ac:dyDescent="0.25">
      <c r="C945" t="e">
        <f>VLOOKUP(B945,Table_TechBridge_Task_8_Dataset[#All],2,FALSE)</f>
        <v>#N/A</v>
      </c>
      <c r="G945" s="9"/>
      <c r="H945" s="9"/>
      <c r="I945" s="15"/>
      <c r="J945" s="12"/>
      <c r="K945" s="12"/>
      <c r="L945" s="5"/>
      <c r="M945" s="12"/>
    </row>
    <row r="946" spans="3:13" x14ac:dyDescent="0.25">
      <c r="C946" t="e">
        <f>VLOOKUP(B946,Table_TechBridge_Task_8_Dataset[#All],2,FALSE)</f>
        <v>#N/A</v>
      </c>
      <c r="G946" s="9"/>
      <c r="H946" s="9"/>
      <c r="I946" s="15"/>
      <c r="J946" s="12"/>
      <c r="K946" s="12"/>
      <c r="L946" s="5"/>
      <c r="M946" s="12"/>
    </row>
    <row r="947" spans="3:13" x14ac:dyDescent="0.25">
      <c r="C947" t="e">
        <f>VLOOKUP(B947,Table_TechBridge_Task_8_Dataset[#All],2,FALSE)</f>
        <v>#N/A</v>
      </c>
      <c r="G947" s="9"/>
      <c r="H947" s="9"/>
      <c r="I947" s="15"/>
      <c r="J947" s="12"/>
      <c r="K947" s="12"/>
      <c r="L947" s="5"/>
      <c r="M947" s="12"/>
    </row>
    <row r="948" spans="3:13" x14ac:dyDescent="0.25">
      <c r="C948" t="e">
        <f>VLOOKUP(B948,Table_TechBridge_Task_8_Dataset[#All],2,FALSE)</f>
        <v>#N/A</v>
      </c>
      <c r="G948" s="9"/>
      <c r="H948" s="9"/>
      <c r="I948" s="15"/>
      <c r="J948" s="12"/>
      <c r="K948" s="12"/>
      <c r="L948" s="5"/>
      <c r="M948" s="12"/>
    </row>
    <row r="949" spans="3:13" x14ac:dyDescent="0.25">
      <c r="C949" t="e">
        <f>VLOOKUP(B949,Table_TechBridge_Task_8_Dataset[#All],2,FALSE)</f>
        <v>#N/A</v>
      </c>
      <c r="G949" s="9"/>
      <c r="H949" s="9"/>
      <c r="I949" s="15"/>
      <c r="J949" s="12"/>
      <c r="K949" s="12"/>
      <c r="L949" s="5"/>
      <c r="M949" s="12"/>
    </row>
    <row r="950" spans="3:13" x14ac:dyDescent="0.25">
      <c r="C950" t="e">
        <f>VLOOKUP(B950,Table_TechBridge_Task_8_Dataset[#All],2,FALSE)</f>
        <v>#N/A</v>
      </c>
      <c r="G950" s="9"/>
      <c r="H950" s="9"/>
      <c r="I950" s="15"/>
      <c r="J950" s="12"/>
      <c r="K950" s="12"/>
      <c r="L950" s="5"/>
      <c r="M950" s="12"/>
    </row>
    <row r="951" spans="3:13" x14ac:dyDescent="0.25">
      <c r="C951" t="e">
        <f>VLOOKUP(B951,Table_TechBridge_Task_8_Dataset[#All],2,FALSE)</f>
        <v>#N/A</v>
      </c>
      <c r="G951" s="9"/>
      <c r="H951" s="9"/>
      <c r="I951" s="15"/>
      <c r="J951" s="12"/>
      <c r="K951" s="12"/>
      <c r="L951" s="5"/>
      <c r="M951" s="12"/>
    </row>
    <row r="952" spans="3:13" x14ac:dyDescent="0.25">
      <c r="C952" t="e">
        <f>VLOOKUP(B952,Table_TechBridge_Task_8_Dataset[#All],2,FALSE)</f>
        <v>#N/A</v>
      </c>
      <c r="G952" s="9"/>
      <c r="H952" s="9"/>
      <c r="I952" s="15"/>
      <c r="J952" s="12"/>
      <c r="K952" s="12"/>
      <c r="L952" s="5"/>
      <c r="M952" s="12"/>
    </row>
    <row r="953" spans="3:13" x14ac:dyDescent="0.25">
      <c r="C953" t="e">
        <f>VLOOKUP(B953,Table_TechBridge_Task_8_Dataset[#All],2,FALSE)</f>
        <v>#N/A</v>
      </c>
      <c r="G953" s="9"/>
      <c r="H953" s="9"/>
      <c r="I953" s="15"/>
      <c r="J953" s="12"/>
      <c r="K953" s="12"/>
      <c r="L953" s="5"/>
      <c r="M953" s="12"/>
    </row>
    <row r="954" spans="3:13" x14ac:dyDescent="0.25">
      <c r="C954" t="e">
        <f>VLOOKUP(B954,Table_TechBridge_Task_8_Dataset[#All],2,FALSE)</f>
        <v>#N/A</v>
      </c>
      <c r="G954" s="9"/>
      <c r="H954" s="9"/>
      <c r="I954" s="15"/>
      <c r="J954" s="12"/>
      <c r="K954" s="12"/>
      <c r="L954" s="5"/>
      <c r="M954" s="12"/>
    </row>
    <row r="955" spans="3:13" x14ac:dyDescent="0.25">
      <c r="C955" t="e">
        <f>VLOOKUP(B955,Table_TechBridge_Task_8_Dataset[#All],2,FALSE)</f>
        <v>#N/A</v>
      </c>
      <c r="G955" s="9"/>
      <c r="H955" s="9"/>
      <c r="I955" s="15"/>
      <c r="J955" s="12"/>
      <c r="K955" s="12"/>
      <c r="L955" s="5"/>
      <c r="M955" s="12"/>
    </row>
    <row r="956" spans="3:13" x14ac:dyDescent="0.25">
      <c r="C956" t="e">
        <f>VLOOKUP(B956,Table_TechBridge_Task_8_Dataset[#All],2,FALSE)</f>
        <v>#N/A</v>
      </c>
      <c r="G956" s="9"/>
      <c r="H956" s="9"/>
      <c r="I956" s="15"/>
      <c r="J956" s="12"/>
      <c r="K956" s="12"/>
      <c r="L956" s="5"/>
      <c r="M956" s="12"/>
    </row>
    <row r="957" spans="3:13" x14ac:dyDescent="0.25">
      <c r="C957" t="e">
        <f>VLOOKUP(B957,Table_TechBridge_Task_8_Dataset[#All],2,FALSE)</f>
        <v>#N/A</v>
      </c>
      <c r="G957" s="9"/>
      <c r="H957" s="9"/>
      <c r="I957" s="15"/>
      <c r="J957" s="12"/>
      <c r="K957" s="12"/>
      <c r="L957" s="5"/>
      <c r="M957" s="12"/>
    </row>
    <row r="958" spans="3:13" x14ac:dyDescent="0.25">
      <c r="C958" t="e">
        <f>VLOOKUP(B958,Table_TechBridge_Task_8_Dataset[#All],2,FALSE)</f>
        <v>#N/A</v>
      </c>
      <c r="G958" s="9"/>
      <c r="H958" s="9"/>
      <c r="I958" s="15"/>
      <c r="J958" s="12"/>
      <c r="K958" s="12"/>
      <c r="L958" s="5"/>
      <c r="M958" s="12"/>
    </row>
    <row r="959" spans="3:13" x14ac:dyDescent="0.25">
      <c r="C959" t="e">
        <f>VLOOKUP(B959,Table_TechBridge_Task_8_Dataset[#All],2,FALSE)</f>
        <v>#N/A</v>
      </c>
      <c r="G959" s="9"/>
      <c r="H959" s="9"/>
      <c r="I959" s="15"/>
      <c r="J959" s="12"/>
      <c r="K959" s="12"/>
      <c r="L959" s="5"/>
      <c r="M959" s="12"/>
    </row>
    <row r="960" spans="3:13" x14ac:dyDescent="0.25">
      <c r="C960" t="e">
        <f>VLOOKUP(B960,Table_TechBridge_Task_8_Dataset[#All],2,FALSE)</f>
        <v>#N/A</v>
      </c>
      <c r="G960" s="9"/>
      <c r="H960" s="9"/>
      <c r="I960" s="15"/>
      <c r="J960" s="12"/>
      <c r="K960" s="12"/>
      <c r="L960" s="5"/>
      <c r="M960" s="12"/>
    </row>
    <row r="961" spans="3:13" x14ac:dyDescent="0.25">
      <c r="C961" t="e">
        <f>VLOOKUP(B961,Table_TechBridge_Task_8_Dataset[#All],2,FALSE)</f>
        <v>#N/A</v>
      </c>
      <c r="G961" s="9"/>
      <c r="H961" s="9"/>
      <c r="I961" s="15"/>
      <c r="J961" s="12"/>
      <c r="K961" s="12"/>
      <c r="L961" s="5"/>
      <c r="M961" s="12"/>
    </row>
    <row r="962" spans="3:13" x14ac:dyDescent="0.25">
      <c r="C962" t="e">
        <f>VLOOKUP(B962,Table_TechBridge_Task_8_Dataset[#All],2,FALSE)</f>
        <v>#N/A</v>
      </c>
      <c r="G962" s="9"/>
      <c r="H962" s="9"/>
      <c r="I962" s="15"/>
      <c r="J962" s="12"/>
      <c r="K962" s="12"/>
      <c r="L962" s="5"/>
      <c r="M962" s="12"/>
    </row>
    <row r="963" spans="3:13" x14ac:dyDescent="0.25">
      <c r="C963" t="e">
        <f>VLOOKUP(B963,Table_TechBridge_Task_8_Dataset[#All],2,FALSE)</f>
        <v>#N/A</v>
      </c>
      <c r="G963" s="9"/>
      <c r="H963" s="9"/>
      <c r="I963" s="15"/>
      <c r="J963" s="12"/>
      <c r="K963" s="12"/>
      <c r="L963" s="5"/>
      <c r="M963" s="12"/>
    </row>
    <row r="964" spans="3:13" x14ac:dyDescent="0.25">
      <c r="C964" t="e">
        <f>VLOOKUP(B964,Table_TechBridge_Task_8_Dataset[#All],2,FALSE)</f>
        <v>#N/A</v>
      </c>
      <c r="G964" s="9"/>
      <c r="H964" s="9"/>
      <c r="I964" s="15"/>
      <c r="J964" s="12"/>
      <c r="K964" s="12"/>
      <c r="L964" s="5"/>
      <c r="M964" s="12"/>
    </row>
    <row r="965" spans="3:13" x14ac:dyDescent="0.25">
      <c r="C965" t="e">
        <f>VLOOKUP(B965,Table_TechBridge_Task_8_Dataset[#All],2,FALSE)</f>
        <v>#N/A</v>
      </c>
      <c r="G965" s="9"/>
      <c r="H965" s="9"/>
      <c r="I965" s="15"/>
      <c r="J965" s="12"/>
      <c r="K965" s="12"/>
      <c r="L965" s="5"/>
      <c r="M965" s="12"/>
    </row>
    <row r="966" spans="3:13" x14ac:dyDescent="0.25">
      <c r="C966" t="e">
        <f>VLOOKUP(B966,Table_TechBridge_Task_8_Dataset[#All],2,FALSE)</f>
        <v>#N/A</v>
      </c>
      <c r="G966" s="9"/>
      <c r="H966" s="9"/>
      <c r="I966" s="15"/>
      <c r="J966" s="12"/>
      <c r="K966" s="12"/>
      <c r="L966" s="5"/>
      <c r="M966" s="12"/>
    </row>
    <row r="967" spans="3:13" x14ac:dyDescent="0.25">
      <c r="C967" t="e">
        <f>VLOOKUP(B967,Table_TechBridge_Task_8_Dataset[#All],2,FALSE)</f>
        <v>#N/A</v>
      </c>
      <c r="G967" s="9"/>
      <c r="H967" s="9"/>
      <c r="I967" s="15"/>
      <c r="J967" s="12"/>
      <c r="K967" s="12"/>
      <c r="L967" s="5"/>
      <c r="M967" s="12"/>
    </row>
    <row r="968" spans="3:13" x14ac:dyDescent="0.25">
      <c r="C968" t="e">
        <f>VLOOKUP(B968,Table_TechBridge_Task_8_Dataset[#All],2,FALSE)</f>
        <v>#N/A</v>
      </c>
      <c r="G968" s="9"/>
      <c r="H968" s="9"/>
      <c r="I968" s="15"/>
      <c r="J968" s="12"/>
      <c r="K968" s="12"/>
      <c r="L968" s="5"/>
      <c r="M968" s="12"/>
    </row>
    <row r="969" spans="3:13" x14ac:dyDescent="0.25">
      <c r="C969" t="e">
        <f>VLOOKUP(B969,Table_TechBridge_Task_8_Dataset[#All],2,FALSE)</f>
        <v>#N/A</v>
      </c>
      <c r="G969" s="9"/>
      <c r="H969" s="9"/>
      <c r="I969" s="15"/>
      <c r="J969" s="12"/>
      <c r="K969" s="12"/>
      <c r="L969" s="5"/>
      <c r="M969" s="12"/>
    </row>
    <row r="970" spans="3:13" x14ac:dyDescent="0.25">
      <c r="C970" t="e">
        <f>VLOOKUP(B970,Table_TechBridge_Task_8_Dataset[#All],2,FALSE)</f>
        <v>#N/A</v>
      </c>
      <c r="G970" s="9"/>
      <c r="H970" s="9"/>
      <c r="I970" s="15"/>
      <c r="J970" s="12"/>
      <c r="K970" s="12"/>
      <c r="L970" s="5"/>
      <c r="M970" s="12"/>
    </row>
    <row r="971" spans="3:13" x14ac:dyDescent="0.25">
      <c r="C971" t="e">
        <f>VLOOKUP(B971,Table_TechBridge_Task_8_Dataset[#All],2,FALSE)</f>
        <v>#N/A</v>
      </c>
      <c r="G971" s="9"/>
      <c r="H971" s="9"/>
      <c r="I971" s="15"/>
      <c r="J971" s="12"/>
      <c r="K971" s="12"/>
      <c r="L971" s="5"/>
      <c r="M971" s="12"/>
    </row>
    <row r="972" spans="3:13" x14ac:dyDescent="0.25">
      <c r="C972" t="e">
        <f>VLOOKUP(B972,Table_TechBridge_Task_8_Dataset[#All],2,FALSE)</f>
        <v>#N/A</v>
      </c>
      <c r="G972" s="9"/>
      <c r="H972" s="9"/>
      <c r="I972" s="15"/>
      <c r="J972" s="12"/>
      <c r="K972" s="12"/>
      <c r="L972" s="5"/>
      <c r="M972" s="12"/>
    </row>
    <row r="973" spans="3:13" x14ac:dyDescent="0.25">
      <c r="C973" t="e">
        <f>VLOOKUP(B973,Table_TechBridge_Task_8_Dataset[#All],2,FALSE)</f>
        <v>#N/A</v>
      </c>
      <c r="G973" s="9"/>
      <c r="H973" s="9"/>
      <c r="I973" s="15"/>
      <c r="J973" s="12"/>
      <c r="K973" s="12"/>
      <c r="L973" s="5"/>
      <c r="M973" s="12"/>
    </row>
    <row r="974" spans="3:13" x14ac:dyDescent="0.25">
      <c r="C974" t="e">
        <f>VLOOKUP(B974,Table_TechBridge_Task_8_Dataset[#All],2,FALSE)</f>
        <v>#N/A</v>
      </c>
      <c r="G974" s="9"/>
      <c r="H974" s="9"/>
      <c r="I974" s="15"/>
      <c r="J974" s="12"/>
      <c r="K974" s="12"/>
      <c r="L974" s="5"/>
      <c r="M974" s="12"/>
    </row>
    <row r="975" spans="3:13" x14ac:dyDescent="0.25">
      <c r="C975" t="e">
        <f>VLOOKUP(B975,Table_TechBridge_Task_8_Dataset[#All],2,FALSE)</f>
        <v>#N/A</v>
      </c>
      <c r="G975" s="9"/>
      <c r="H975" s="9"/>
      <c r="I975" s="15"/>
      <c r="J975" s="12"/>
      <c r="K975" s="12"/>
      <c r="L975" s="5"/>
      <c r="M975" s="12"/>
    </row>
    <row r="976" spans="3:13" x14ac:dyDescent="0.25">
      <c r="C976" t="e">
        <f>VLOOKUP(B976,Table_TechBridge_Task_8_Dataset[#All],2,FALSE)</f>
        <v>#N/A</v>
      </c>
      <c r="G976" s="9"/>
      <c r="H976" s="9"/>
      <c r="I976" s="15"/>
      <c r="J976" s="12"/>
      <c r="K976" s="12"/>
      <c r="L976" s="5"/>
      <c r="M976" s="12"/>
    </row>
    <row r="977" spans="3:13" x14ac:dyDescent="0.25">
      <c r="C977" t="e">
        <f>VLOOKUP(B977,Table_TechBridge_Task_8_Dataset[#All],2,FALSE)</f>
        <v>#N/A</v>
      </c>
      <c r="G977" s="9"/>
      <c r="H977" s="9"/>
      <c r="I977" s="15"/>
      <c r="J977" s="12"/>
      <c r="K977" s="12"/>
      <c r="L977" s="5"/>
      <c r="M977" s="12"/>
    </row>
    <row r="978" spans="3:13" x14ac:dyDescent="0.25">
      <c r="C978" t="e">
        <f>VLOOKUP(B978,Table_TechBridge_Task_8_Dataset[#All],2,FALSE)</f>
        <v>#N/A</v>
      </c>
      <c r="G978" s="9"/>
      <c r="H978" s="9"/>
      <c r="I978" s="15"/>
      <c r="J978" s="12"/>
      <c r="K978" s="12"/>
      <c r="L978" s="5"/>
      <c r="M978" s="12"/>
    </row>
    <row r="979" spans="3:13" x14ac:dyDescent="0.25">
      <c r="C979" t="e">
        <f>VLOOKUP(B979,Table_TechBridge_Task_8_Dataset[#All],2,FALSE)</f>
        <v>#N/A</v>
      </c>
      <c r="G979" s="9"/>
      <c r="H979" s="9"/>
      <c r="I979" s="15"/>
      <c r="J979" s="12"/>
      <c r="K979" s="12"/>
      <c r="L979" s="5"/>
      <c r="M979" s="12"/>
    </row>
    <row r="980" spans="3:13" x14ac:dyDescent="0.25">
      <c r="C980" t="e">
        <f>VLOOKUP(B980,Table_TechBridge_Task_8_Dataset[#All],2,FALSE)</f>
        <v>#N/A</v>
      </c>
      <c r="G980" s="9"/>
      <c r="H980" s="9"/>
      <c r="I980" s="15"/>
      <c r="J980" s="12"/>
      <c r="K980" s="12"/>
      <c r="L980" s="5"/>
      <c r="M980" s="12"/>
    </row>
    <row r="981" spans="3:13" x14ac:dyDescent="0.25">
      <c r="C981" t="e">
        <f>VLOOKUP(B981,Table_TechBridge_Task_8_Dataset[#All],2,FALSE)</f>
        <v>#N/A</v>
      </c>
      <c r="G981" s="9"/>
      <c r="H981" s="9"/>
      <c r="I981" s="15"/>
      <c r="J981" s="12"/>
      <c r="K981" s="12"/>
      <c r="L981" s="5"/>
      <c r="M981" s="12"/>
    </row>
    <row r="982" spans="3:13" x14ac:dyDescent="0.25">
      <c r="C982" t="e">
        <f>VLOOKUP(B982,Table_TechBridge_Task_8_Dataset[#All],2,FALSE)</f>
        <v>#N/A</v>
      </c>
      <c r="G982" s="9"/>
      <c r="H982" s="9"/>
      <c r="I982" s="15"/>
      <c r="J982" s="12"/>
      <c r="K982" s="12"/>
      <c r="L982" s="5"/>
      <c r="M982" s="12"/>
    </row>
    <row r="983" spans="3:13" x14ac:dyDescent="0.25">
      <c r="C983" t="e">
        <f>VLOOKUP(B983,Table_TechBridge_Task_8_Dataset[#All],2,FALSE)</f>
        <v>#N/A</v>
      </c>
      <c r="G983" s="9"/>
      <c r="H983" s="9"/>
      <c r="I983" s="15"/>
      <c r="J983" s="12"/>
      <c r="K983" s="12"/>
      <c r="L983" s="5"/>
      <c r="M983" s="12"/>
    </row>
    <row r="984" spans="3:13" x14ac:dyDescent="0.25">
      <c r="C984" t="e">
        <f>VLOOKUP(B984,Table_TechBridge_Task_8_Dataset[#All],2,FALSE)</f>
        <v>#N/A</v>
      </c>
      <c r="G984" s="9"/>
      <c r="H984" s="9"/>
      <c r="I984" s="15"/>
      <c r="J984" s="12"/>
      <c r="K984" s="12"/>
      <c r="L984" s="5"/>
      <c r="M984" s="12"/>
    </row>
    <row r="985" spans="3:13" x14ac:dyDescent="0.25">
      <c r="C985" t="e">
        <f>VLOOKUP(B985,Table_TechBridge_Task_8_Dataset[#All],2,FALSE)</f>
        <v>#N/A</v>
      </c>
      <c r="G985" s="9"/>
      <c r="H985" s="9"/>
      <c r="I985" s="15"/>
      <c r="J985" s="12"/>
      <c r="K985" s="12"/>
      <c r="L985" s="5"/>
      <c r="M985" s="12"/>
    </row>
    <row r="986" spans="3:13" x14ac:dyDescent="0.25">
      <c r="C986" t="e">
        <f>VLOOKUP(B986,Table_TechBridge_Task_8_Dataset[#All],2,FALSE)</f>
        <v>#N/A</v>
      </c>
      <c r="G986" s="9"/>
      <c r="H986" s="9"/>
      <c r="I986" s="15"/>
      <c r="J986" s="12"/>
      <c r="K986" s="12"/>
      <c r="L986" s="5"/>
      <c r="M986" s="12"/>
    </row>
    <row r="987" spans="3:13" x14ac:dyDescent="0.25">
      <c r="C987" t="e">
        <f>VLOOKUP(B987,Table_TechBridge_Task_8_Dataset[#All],2,FALSE)</f>
        <v>#N/A</v>
      </c>
      <c r="G987" s="9"/>
      <c r="H987" s="9"/>
      <c r="I987" s="15"/>
      <c r="J987" s="12"/>
      <c r="K987" s="12"/>
      <c r="L987" s="5"/>
      <c r="M987" s="12"/>
    </row>
    <row r="988" spans="3:13" x14ac:dyDescent="0.25">
      <c r="C988" t="e">
        <f>VLOOKUP(B988,Table_TechBridge_Task_8_Dataset[#All],2,FALSE)</f>
        <v>#N/A</v>
      </c>
      <c r="G988" s="9"/>
      <c r="H988" s="9"/>
      <c r="I988" s="15"/>
      <c r="J988" s="12"/>
      <c r="K988" s="12"/>
      <c r="L988" s="5"/>
      <c r="M988" s="12"/>
    </row>
    <row r="989" spans="3:13" x14ac:dyDescent="0.25">
      <c r="C989" t="e">
        <f>VLOOKUP(B989,Table_TechBridge_Task_8_Dataset[#All],2,FALSE)</f>
        <v>#N/A</v>
      </c>
      <c r="G989" s="9"/>
      <c r="H989" s="9"/>
      <c r="I989" s="15"/>
      <c r="J989" s="12"/>
      <c r="K989" s="12"/>
      <c r="L989" s="5"/>
      <c r="M989" s="12"/>
    </row>
    <row r="990" spans="3:13" x14ac:dyDescent="0.25">
      <c r="C990" t="e">
        <f>VLOOKUP(B990,Table_TechBridge_Task_8_Dataset[#All],2,FALSE)</f>
        <v>#N/A</v>
      </c>
      <c r="G990" s="9"/>
      <c r="H990" s="9"/>
      <c r="I990" s="15"/>
      <c r="J990" s="12"/>
      <c r="K990" s="12"/>
      <c r="L990" s="5"/>
      <c r="M990" s="12"/>
    </row>
    <row r="991" spans="3:13" x14ac:dyDescent="0.25">
      <c r="C991" t="e">
        <f>VLOOKUP(B991,Table_TechBridge_Task_8_Dataset[#All],2,FALSE)</f>
        <v>#N/A</v>
      </c>
      <c r="G991" s="9"/>
      <c r="H991" s="9"/>
      <c r="I991" s="15"/>
      <c r="J991" s="12"/>
      <c r="K991" s="12"/>
      <c r="L991" s="5"/>
      <c r="M991" s="12"/>
    </row>
    <row r="992" spans="3:13" x14ac:dyDescent="0.25">
      <c r="C992" t="e">
        <f>VLOOKUP(B992,Table_TechBridge_Task_8_Dataset[#All],2,FALSE)</f>
        <v>#N/A</v>
      </c>
      <c r="G992" s="9"/>
      <c r="H992" s="9"/>
      <c r="I992" s="15"/>
      <c r="J992" s="12"/>
      <c r="K992" s="12"/>
      <c r="L992" s="5"/>
      <c r="M992" s="12"/>
    </row>
    <row r="993" spans="3:13" x14ac:dyDescent="0.25">
      <c r="C993" t="e">
        <f>VLOOKUP(B993,Table_TechBridge_Task_8_Dataset[#All],2,FALSE)</f>
        <v>#N/A</v>
      </c>
      <c r="G993" s="9"/>
      <c r="H993" s="9"/>
      <c r="I993" s="15"/>
      <c r="J993" s="12"/>
      <c r="K993" s="12"/>
      <c r="L993" s="5"/>
      <c r="M993" s="12"/>
    </row>
    <row r="994" spans="3:13" x14ac:dyDescent="0.25">
      <c r="C994" t="e">
        <f>VLOOKUP(B994,Table_TechBridge_Task_8_Dataset[#All],2,FALSE)</f>
        <v>#N/A</v>
      </c>
      <c r="G994" s="9"/>
      <c r="H994" s="9"/>
      <c r="I994" s="15"/>
      <c r="J994" s="12"/>
      <c r="K994" s="12"/>
      <c r="L994" s="5"/>
      <c r="M994" s="12"/>
    </row>
    <row r="995" spans="3:13" x14ac:dyDescent="0.25">
      <c r="C995" t="e">
        <f>VLOOKUP(B995,Table_TechBridge_Task_8_Dataset[#All],2,FALSE)</f>
        <v>#N/A</v>
      </c>
      <c r="G995" s="9"/>
      <c r="H995" s="9"/>
      <c r="I995" s="15"/>
      <c r="J995" s="12"/>
      <c r="K995" s="12"/>
      <c r="L995" s="5"/>
      <c r="M995" s="12"/>
    </row>
    <row r="996" spans="3:13" x14ac:dyDescent="0.25">
      <c r="C996" t="e">
        <f>VLOOKUP(B996,Table_TechBridge_Task_8_Dataset[#All],2,FALSE)</f>
        <v>#N/A</v>
      </c>
      <c r="G996" s="9"/>
      <c r="H996" s="9"/>
      <c r="I996" s="15"/>
      <c r="J996" s="12"/>
      <c r="K996" s="12"/>
      <c r="L996" s="5"/>
      <c r="M996" s="12"/>
    </row>
    <row r="997" spans="3:13" x14ac:dyDescent="0.25">
      <c r="C997" t="e">
        <f>VLOOKUP(B997,Table_TechBridge_Task_8_Dataset[#All],2,FALSE)</f>
        <v>#N/A</v>
      </c>
      <c r="G997" s="9"/>
      <c r="H997" s="9"/>
      <c r="I997" s="15"/>
      <c r="J997" s="12"/>
      <c r="K997" s="12"/>
      <c r="L997" s="5"/>
      <c r="M997" s="12"/>
    </row>
    <row r="998" spans="3:13" x14ac:dyDescent="0.25">
      <c r="C998" t="e">
        <f>VLOOKUP(B998,Table_TechBridge_Task_8_Dataset[#All],2,FALSE)</f>
        <v>#N/A</v>
      </c>
      <c r="G998" s="9"/>
      <c r="H998" s="9"/>
      <c r="I998" s="15"/>
      <c r="J998" s="12"/>
      <c r="K998" s="12"/>
      <c r="L998" s="5"/>
      <c r="M998" s="12"/>
    </row>
    <row r="999" spans="3:13" x14ac:dyDescent="0.25">
      <c r="C999" t="e">
        <f>VLOOKUP(B999,Table_TechBridge_Task_8_Dataset[#All],2,FALSE)</f>
        <v>#N/A</v>
      </c>
      <c r="G999" s="9"/>
      <c r="H999" s="9"/>
      <c r="I999" s="15"/>
      <c r="J999" s="12"/>
      <c r="K999" s="12"/>
      <c r="L999" s="5"/>
      <c r="M999" s="12"/>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C72"/>
  <sheetViews>
    <sheetView zoomScale="80" zoomScaleNormal="80" workbookViewId="0">
      <selection activeCell="B67" sqref="B67"/>
    </sheetView>
  </sheetViews>
  <sheetFormatPr defaultRowHeight="15" x14ac:dyDescent="0.25"/>
  <cols>
    <col min="2" max="2" width="12" bestFit="1" customWidth="1"/>
    <col min="3" max="3" width="20" bestFit="1" customWidth="1"/>
    <col min="4" max="7" width="3" customWidth="1"/>
    <col min="8" max="8" width="11.28515625" bestFit="1" customWidth="1"/>
  </cols>
  <sheetData>
    <row r="1" spans="2:2" ht="27" customHeight="1" x14ac:dyDescent="0.25"/>
    <row r="2" spans="2:2" ht="18.75" x14ac:dyDescent="0.25">
      <c r="B2" s="16" t="s">
        <v>304</v>
      </c>
    </row>
    <row r="3" spans="2:2" x14ac:dyDescent="0.25">
      <c r="B3" t="s">
        <v>305</v>
      </c>
    </row>
    <row r="4" spans="2:2" x14ac:dyDescent="0.25">
      <c r="B4" s="18">
        <v>42013200</v>
      </c>
    </row>
    <row r="6" spans="2:2" ht="18.75" x14ac:dyDescent="0.25">
      <c r="B6" s="16" t="s">
        <v>306</v>
      </c>
    </row>
    <row r="7" spans="2:2" x14ac:dyDescent="0.25">
      <c r="B7" t="s">
        <v>307</v>
      </c>
    </row>
    <row r="8" spans="2:2" x14ac:dyDescent="0.25">
      <c r="B8" s="17">
        <v>147</v>
      </c>
    </row>
    <row r="10" spans="2:2" ht="18.75" x14ac:dyDescent="0.25">
      <c r="B10" s="16" t="s">
        <v>308</v>
      </c>
    </row>
    <row r="11" spans="2:2" x14ac:dyDescent="0.25">
      <c r="B11" t="s">
        <v>309</v>
      </c>
    </row>
    <row r="12" spans="2:2" x14ac:dyDescent="0.25">
      <c r="B12" s="19">
        <v>447</v>
      </c>
    </row>
    <row r="14" spans="2:2" ht="18.75" x14ac:dyDescent="0.25">
      <c r="B14" s="16" t="s">
        <v>310</v>
      </c>
    </row>
    <row r="15" spans="2:2" x14ac:dyDescent="0.25">
      <c r="B15" t="s">
        <v>311</v>
      </c>
    </row>
    <row r="16" spans="2:2" x14ac:dyDescent="0.25">
      <c r="B16" s="18">
        <v>285804.08163265308</v>
      </c>
    </row>
    <row r="18" spans="2:3" ht="18.75" x14ac:dyDescent="0.25">
      <c r="B18" s="16" t="s">
        <v>312</v>
      </c>
    </row>
    <row r="19" spans="2:3" x14ac:dyDescent="0.25">
      <c r="B19" s="10" t="s">
        <v>313</v>
      </c>
      <c r="C19" t="s">
        <v>305</v>
      </c>
    </row>
    <row r="20" spans="2:3" x14ac:dyDescent="0.25">
      <c r="B20" s="11" t="s">
        <v>68</v>
      </c>
      <c r="C20" s="17">
        <v>7992000</v>
      </c>
    </row>
    <row r="21" spans="2:3" x14ac:dyDescent="0.25">
      <c r="B21" s="11" t="s">
        <v>75</v>
      </c>
      <c r="C21" s="17">
        <v>7104000</v>
      </c>
    </row>
    <row r="22" spans="2:3" x14ac:dyDescent="0.25">
      <c r="B22" s="11" t="s">
        <v>85</v>
      </c>
      <c r="C22" s="17">
        <v>6512000</v>
      </c>
    </row>
    <row r="23" spans="2:3" x14ac:dyDescent="0.25">
      <c r="B23" s="11" t="s">
        <v>81</v>
      </c>
      <c r="C23" s="17">
        <v>6174000</v>
      </c>
    </row>
    <row r="24" spans="2:3" x14ac:dyDescent="0.25">
      <c r="B24" s="11" t="s">
        <v>65</v>
      </c>
      <c r="C24" s="17">
        <v>5220000</v>
      </c>
    </row>
    <row r="25" spans="2:3" x14ac:dyDescent="0.25">
      <c r="B25" s="11" t="s">
        <v>87</v>
      </c>
      <c r="C25" s="17">
        <v>4410000</v>
      </c>
    </row>
    <row r="26" spans="2:3" x14ac:dyDescent="0.25">
      <c r="B26" s="11" t="s">
        <v>83</v>
      </c>
      <c r="C26" s="17">
        <v>1850000</v>
      </c>
    </row>
    <row r="27" spans="2:3" x14ac:dyDescent="0.25">
      <c r="B27" s="11" t="s">
        <v>78</v>
      </c>
      <c r="C27" s="17">
        <v>1406000</v>
      </c>
    </row>
    <row r="28" spans="2:3" x14ac:dyDescent="0.25">
      <c r="B28" s="11" t="s">
        <v>70</v>
      </c>
      <c r="C28" s="17">
        <v>1110000</v>
      </c>
    </row>
    <row r="29" spans="2:3" x14ac:dyDescent="0.25">
      <c r="B29" s="11" t="s">
        <v>73</v>
      </c>
      <c r="C29" s="17">
        <v>235200</v>
      </c>
    </row>
    <row r="30" spans="2:3" x14ac:dyDescent="0.25">
      <c r="B30" s="11" t="s">
        <v>314</v>
      </c>
      <c r="C30" s="18">
        <v>42013200</v>
      </c>
    </row>
    <row r="32" spans="2:3" ht="18.75" x14ac:dyDescent="0.25">
      <c r="B32" s="16" t="s">
        <v>315</v>
      </c>
    </row>
    <row r="33" spans="2:3" x14ac:dyDescent="0.25">
      <c r="B33" s="10" t="s">
        <v>62</v>
      </c>
      <c r="C33" t="s">
        <v>305</v>
      </c>
    </row>
    <row r="34" spans="2:3" x14ac:dyDescent="0.25">
      <c r="B34" s="11" t="s">
        <v>66</v>
      </c>
      <c r="C34" s="17">
        <v>24134000</v>
      </c>
    </row>
    <row r="35" spans="2:3" x14ac:dyDescent="0.25">
      <c r="B35" s="11" t="s">
        <v>79</v>
      </c>
      <c r="C35" s="17">
        <v>7580000</v>
      </c>
    </row>
    <row r="36" spans="2:3" x14ac:dyDescent="0.25">
      <c r="B36" s="11" t="s">
        <v>76</v>
      </c>
      <c r="C36" s="17">
        <v>7104000</v>
      </c>
    </row>
    <row r="37" spans="2:3" x14ac:dyDescent="0.25">
      <c r="B37" s="11" t="s">
        <v>71</v>
      </c>
      <c r="C37" s="17">
        <v>3195200</v>
      </c>
    </row>
    <row r="38" spans="2:3" x14ac:dyDescent="0.25">
      <c r="B38" s="11" t="s">
        <v>314</v>
      </c>
      <c r="C38" s="18">
        <v>42013200</v>
      </c>
    </row>
    <row r="40" spans="2:3" ht="18.75" x14ac:dyDescent="0.25">
      <c r="B40" s="16" t="s">
        <v>316</v>
      </c>
    </row>
    <row r="41" spans="2:3" x14ac:dyDescent="0.25">
      <c r="B41" s="10" t="s">
        <v>2</v>
      </c>
      <c r="C41" t="s">
        <v>305</v>
      </c>
    </row>
    <row r="42" spans="2:3" x14ac:dyDescent="0.25">
      <c r="B42" s="11" t="s">
        <v>30</v>
      </c>
      <c r="C42" s="17">
        <v>125600</v>
      </c>
    </row>
    <row r="43" spans="2:3" x14ac:dyDescent="0.25">
      <c r="B43" s="11" t="s">
        <v>51</v>
      </c>
      <c r="C43" s="17">
        <v>755250</v>
      </c>
    </row>
    <row r="44" spans="2:3" x14ac:dyDescent="0.25">
      <c r="B44" s="11" t="s">
        <v>46</v>
      </c>
      <c r="C44" s="17">
        <v>856250</v>
      </c>
    </row>
    <row r="45" spans="2:3" x14ac:dyDescent="0.25">
      <c r="B45" s="11" t="s">
        <v>17</v>
      </c>
      <c r="C45" s="17">
        <v>1103350</v>
      </c>
    </row>
    <row r="46" spans="2:3" x14ac:dyDescent="0.25">
      <c r="B46" s="11" t="s">
        <v>40</v>
      </c>
      <c r="C46" s="17">
        <v>2055000</v>
      </c>
    </row>
    <row r="47" spans="2:3" x14ac:dyDescent="0.25">
      <c r="B47" s="11" t="s">
        <v>43</v>
      </c>
      <c r="C47" s="17">
        <v>3058000</v>
      </c>
    </row>
    <row r="48" spans="2:3" x14ac:dyDescent="0.25">
      <c r="B48" s="11" t="s">
        <v>37</v>
      </c>
      <c r="C48" s="17">
        <v>3082500</v>
      </c>
    </row>
    <row r="49" spans="2:3" x14ac:dyDescent="0.25">
      <c r="B49" s="11" t="s">
        <v>27</v>
      </c>
      <c r="C49" s="17">
        <v>3336000</v>
      </c>
    </row>
    <row r="50" spans="2:3" x14ac:dyDescent="0.25">
      <c r="B50" s="11" t="s">
        <v>20</v>
      </c>
      <c r="C50" s="17">
        <v>3398250</v>
      </c>
    </row>
    <row r="51" spans="2:3" x14ac:dyDescent="0.25">
      <c r="B51" s="11" t="s">
        <v>23</v>
      </c>
      <c r="C51" s="17">
        <v>4376750</v>
      </c>
    </row>
    <row r="52" spans="2:3" x14ac:dyDescent="0.25">
      <c r="B52" s="11" t="s">
        <v>6</v>
      </c>
      <c r="C52" s="17">
        <v>5573250</v>
      </c>
    </row>
    <row r="53" spans="2:3" x14ac:dyDescent="0.25">
      <c r="B53" s="11" t="s">
        <v>10</v>
      </c>
      <c r="C53" s="17">
        <v>7071000</v>
      </c>
    </row>
    <row r="54" spans="2:3" x14ac:dyDescent="0.25">
      <c r="B54" s="11" t="s">
        <v>14</v>
      </c>
      <c r="C54" s="17">
        <v>7222000</v>
      </c>
    </row>
    <row r="55" spans="2:3" x14ac:dyDescent="0.25">
      <c r="B55" s="11" t="s">
        <v>314</v>
      </c>
      <c r="C55" s="18">
        <v>42013200</v>
      </c>
    </row>
    <row r="57" spans="2:3" ht="18.75" x14ac:dyDescent="0.25">
      <c r="B57" s="16" t="s">
        <v>317</v>
      </c>
    </row>
    <row r="58" spans="2:3" x14ac:dyDescent="0.25">
      <c r="B58" s="10" t="s">
        <v>318</v>
      </c>
      <c r="C58" t="s">
        <v>305</v>
      </c>
    </row>
    <row r="59" spans="2:3" x14ac:dyDescent="0.25">
      <c r="B59" s="11" t="s">
        <v>319</v>
      </c>
      <c r="C59" s="14">
        <v>5283400</v>
      </c>
    </row>
    <row r="60" spans="2:3" x14ac:dyDescent="0.25">
      <c r="B60" s="11" t="s">
        <v>320</v>
      </c>
      <c r="C60" s="14">
        <v>8717500</v>
      </c>
    </row>
    <row r="61" spans="2:3" x14ac:dyDescent="0.25">
      <c r="B61" s="11" t="s">
        <v>321</v>
      </c>
      <c r="C61" s="14">
        <v>5289950</v>
      </c>
    </row>
    <row r="62" spans="2:3" x14ac:dyDescent="0.25">
      <c r="B62" s="11" t="s">
        <v>322</v>
      </c>
      <c r="C62" s="14">
        <v>8660250</v>
      </c>
    </row>
    <row r="63" spans="2:3" x14ac:dyDescent="0.25">
      <c r="B63" s="11" t="s">
        <v>323</v>
      </c>
      <c r="C63" s="14">
        <v>5319850</v>
      </c>
    </row>
    <row r="64" spans="2:3" x14ac:dyDescent="0.25">
      <c r="B64" s="11" t="s">
        <v>324</v>
      </c>
      <c r="C64" s="14">
        <v>8742250</v>
      </c>
    </row>
    <row r="65" spans="2:3" x14ac:dyDescent="0.25">
      <c r="B65" s="11" t="s">
        <v>314</v>
      </c>
      <c r="C65" s="18">
        <v>42013200</v>
      </c>
    </row>
    <row r="67" spans="2:3" ht="18.75" x14ac:dyDescent="0.25">
      <c r="B67" s="16" t="s">
        <v>325</v>
      </c>
    </row>
    <row r="68" spans="2:3" x14ac:dyDescent="0.25">
      <c r="B68" s="10" t="s">
        <v>318</v>
      </c>
      <c r="C68" t="s">
        <v>305</v>
      </c>
    </row>
    <row r="69" spans="2:3" x14ac:dyDescent="0.25">
      <c r="B69" s="11" t="s">
        <v>7</v>
      </c>
      <c r="C69" s="14">
        <v>23075850</v>
      </c>
    </row>
    <row r="70" spans="2:3" x14ac:dyDescent="0.25">
      <c r="B70" s="11" t="s">
        <v>11</v>
      </c>
      <c r="C70" s="14">
        <v>16320350</v>
      </c>
    </row>
    <row r="71" spans="2:3" x14ac:dyDescent="0.25">
      <c r="B71" s="11" t="s">
        <v>24</v>
      </c>
      <c r="C71" s="14">
        <v>2617000</v>
      </c>
    </row>
    <row r="72" spans="2:3" x14ac:dyDescent="0.25">
      <c r="B72" s="11" t="s">
        <v>314</v>
      </c>
      <c r="C72" s="18">
        <v>42013200</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showGridLines="0" showRowColHeaders="0" tabSelected="1" zoomScale="55" zoomScaleNormal="55" workbookViewId="0">
      <selection activeCell="AC10" sqref="AC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B95FCF-2C0F-484A-8FC2-636F039766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Customers</vt:lpstr>
      <vt:lpstr>Products</vt:lpstr>
      <vt:lpstr>Transactions</vt:lpstr>
      <vt:lpstr>Cleaned_Data</vt:lpstr>
      <vt:lpstr>Merged_Data</vt:lpstr>
      <vt:lpstr>Analysis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Timothy John</cp:lastModifiedBy>
  <cp:revision/>
  <dcterms:created xsi:type="dcterms:W3CDTF">2026-09-29T17:57:42Z</dcterms:created>
  <dcterms:modified xsi:type="dcterms:W3CDTF">2026-09-30T15:47:39Z</dcterms:modified>
  <cp:category/>
  <cp:contentStatus/>
</cp:coreProperties>
</file>